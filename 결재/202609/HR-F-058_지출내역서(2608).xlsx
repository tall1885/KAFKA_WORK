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trlProps/ctrlProp2.xml" ContentType="application/vnd.ms-excel.controlpropertie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박규남\Documents\카카오톡 받은 파일\"/>
    </mc:Choice>
  </mc:AlternateContent>
  <xr:revisionPtr revIDLastSave="0" documentId="13_ncr:1_{EC2E5B79-BF97-4E47-A6F3-3226FBA369D0}" xr6:coauthVersionLast="36" xr6:coauthVersionMax="36" xr10:uidLastSave="{00000000-0000-0000-0000-000000000000}"/>
  <bookViews>
    <workbookView xWindow="0" yWindow="0" windowWidth="25600" windowHeight="12050" tabRatio="700" activeTab="2" xr2:uid="{00000000-000D-0000-FFFF-FFFF00000000}"/>
  </bookViews>
  <sheets>
    <sheet name="지출(개인)" sheetId="1" r:id="rId1"/>
    <sheet name="지출(개인)-1" sheetId="6" r:id="rId2"/>
    <sheet name="여비교통(개인)" sheetId="2" r:id="rId3"/>
    <sheet name="여비교통(개인)-1" sheetId="8" r:id="rId4"/>
    <sheet name="지출(법인)" sheetId="3" r:id="rId5"/>
    <sheet name="지출(법인)-1" sheetId="9" r:id="rId6"/>
    <sheet name="지출(법인)-2" sheetId="12" r:id="rId7"/>
    <sheet name="여비교통(법인)" sheetId="5" r:id="rId8"/>
    <sheet name="여비교통(법인)-1" sheetId="11" r:id="rId9"/>
  </sheets>
  <definedNames>
    <definedName name="_xlnm._FilterDatabase" localSheetId="7" hidden="1">'여비교통(법인)'!$B$47:$B$209</definedName>
    <definedName name="_xlnm._FilterDatabase" localSheetId="4" hidden="1">'지출(법인)'!$A$45:$Y$45</definedName>
    <definedName name="_xlnm._FilterDatabase" localSheetId="5" hidden="1">'지출(법인)-1'!$B$4:$I$4</definedName>
    <definedName name="_xlnm._FilterDatabase" localSheetId="6" hidden="1">'지출(법인)-2'!$B$4:$I$4</definedName>
    <definedName name="_xlnm.Print_Area" localSheetId="2">'여비교통(개인)'!$A$1:$O$44</definedName>
    <definedName name="_xlnm.Print_Area" localSheetId="3">'여비교통(개인)-1'!$A$2:$O$46</definedName>
    <definedName name="_xlnm.Print_Area" localSheetId="7">'여비교통(법인)'!$A$1:$O$44</definedName>
    <definedName name="_xlnm.Print_Area" localSheetId="8">'여비교통(법인)-1'!$A$1:$O$46</definedName>
    <definedName name="_xlnm.Print_Area" localSheetId="0">'지출(개인)'!$A$1:$J$44</definedName>
    <definedName name="_xlnm.Print_Area" localSheetId="1">'지출(개인)-1'!$A$1:$J$43</definedName>
    <definedName name="_xlnm.Print_Area" localSheetId="4">'지출(법인)'!$A$1:$J$44</definedName>
    <definedName name="_xlnm.Print_Area" localSheetId="5">'지출(법인)-1'!$A$1:$J$43</definedName>
    <definedName name="_xlnm.Print_Area" localSheetId="6">'지출(법인)-2'!$A$1:$J$43</definedName>
  </definedNames>
  <calcPr calcId="191029"/>
</workbook>
</file>

<file path=xl/calcChain.xml><?xml version="1.0" encoding="utf-8"?>
<calcChain xmlns="http://schemas.openxmlformats.org/spreadsheetml/2006/main">
  <c r="F15" i="3" l="1"/>
  <c r="B15" i="3"/>
  <c r="H15" i="3"/>
  <c r="G15" i="3"/>
  <c r="D15" i="3"/>
  <c r="E10" i="2" l="1"/>
  <c r="C15" i="1" l="1"/>
  <c r="I44" i="11" l="1"/>
  <c r="I43" i="11" s="1"/>
  <c r="I42" i="5"/>
  <c r="I41" i="5" s="1"/>
  <c r="I44" i="8"/>
  <c r="I43" i="8" s="1"/>
  <c r="I42" i="2" l="1"/>
  <c r="I41" i="2" s="1"/>
  <c r="I15" i="1" l="1"/>
  <c r="H15" i="1"/>
  <c r="E15" i="1"/>
  <c r="C10" i="3" l="1"/>
  <c r="H44" i="11" l="1"/>
  <c r="H43" i="11" s="1"/>
  <c r="M43" i="11"/>
  <c r="L43" i="11"/>
  <c r="K43" i="11"/>
  <c r="J43" i="11"/>
  <c r="H42" i="5"/>
  <c r="H41" i="5" s="1"/>
  <c r="M41" i="5"/>
  <c r="L41" i="5"/>
  <c r="K41" i="5"/>
  <c r="J41" i="5"/>
  <c r="E11" i="5"/>
  <c r="E10" i="5"/>
  <c r="E9" i="5"/>
  <c r="C12" i="3"/>
  <c r="C11" i="3"/>
  <c r="H44" i="8"/>
  <c r="H43" i="8" s="1"/>
  <c r="M43" i="8"/>
  <c r="L43" i="8"/>
  <c r="K43" i="8"/>
  <c r="J43" i="8"/>
  <c r="H42" i="2"/>
  <c r="H41" i="2" s="1"/>
  <c r="M41" i="2"/>
  <c r="L41" i="2"/>
  <c r="K41" i="2"/>
  <c r="E14" i="2" s="1"/>
  <c r="J41" i="2"/>
  <c r="E11" i="2"/>
  <c r="E9" i="2"/>
  <c r="G15" i="1"/>
  <c r="B15" i="1"/>
  <c r="E14" i="5" l="1"/>
  <c r="H10" i="1"/>
  <c r="H10" i="3"/>
  <c r="B14" i="2"/>
  <c r="L9" i="2" s="1"/>
  <c r="B14" i="5"/>
  <c r="L9" i="5" l="1"/>
</calcChain>
</file>

<file path=xl/sharedStrings.xml><?xml version="1.0" encoding="utf-8"?>
<sst xmlns="http://schemas.openxmlformats.org/spreadsheetml/2006/main" count="948" uniqueCount="514">
  <si>
    <t>"Best IT Service Leader"</t>
  </si>
  <si>
    <t>지출항목</t>
  </si>
  <si>
    <t>일</t>
  </si>
  <si>
    <t>사용내역</t>
  </si>
  <si>
    <t>사용금액</t>
  </si>
  <si>
    <t>▣ 항목별 집계 금액</t>
  </si>
  <si>
    <t>통신비</t>
  </si>
  <si>
    <t>이용점명</t>
  </si>
  <si>
    <t>참석자</t>
  </si>
  <si>
    <t>본부명</t>
  </si>
  <si>
    <t>법인카드번호</t>
  </si>
  <si>
    <t>▣ 세부 내역</t>
  </si>
  <si>
    <t>※ 월 총 사용금액:</t>
  </si>
  <si>
    <t>성 명</t>
  </si>
  <si>
    <t>㈜ 오파스넷의 성장과 발전을 위해 열심히 노력해 주시는 임직원 여러분들의 노고에 진심으로 감사 드립니다.</t>
  </si>
  <si>
    <t>비고</t>
  </si>
  <si>
    <t>택시</t>
  </si>
  <si>
    <t>버스/지하철</t>
  </si>
  <si>
    <t>대중교통</t>
  </si>
  <si>
    <t>시내교통비</t>
  </si>
  <si>
    <t>주차비</t>
  </si>
  <si>
    <t>출발</t>
  </si>
  <si>
    <t>도착</t>
  </si>
  <si>
    <t>목적지</t>
  </si>
  <si>
    <t>방문내용</t>
  </si>
  <si>
    <t>지출 증빙 내역서 (법인)</t>
  </si>
  <si>
    <t>운행구간</t>
  </si>
  <si>
    <t>통행료</t>
  </si>
  <si>
    <t>주차료</t>
  </si>
  <si>
    <t>자기차량(운행일지)</t>
  </si>
  <si>
    <t>석유공사 평균 가격:</t>
  </si>
  <si>
    <t>&lt;작성 예시&gt;</t>
  </si>
  <si>
    <t xml:space="preserve">  &lt;작성 예시&gt;</t>
  </si>
  <si>
    <t>기타
(지출증빙)</t>
  </si>
  <si>
    <t>지출 증빙 내역서 (개인)</t>
  </si>
  <si>
    <t>차량 운행 내역서 (개인)</t>
  </si>
  <si>
    <t>차량 운행 내역서 (법인)</t>
  </si>
  <si>
    <t>법인카드번호</t>
  </si>
  <si>
    <t>지출(개인)-0</t>
  </si>
  <si>
    <t>지출(개인)-1</t>
  </si>
  <si>
    <t>여비교통(개인)-0</t>
  </si>
  <si>
    <t>지출(법인)-0</t>
  </si>
  <si>
    <t>지출(법인)-1</t>
  </si>
  <si>
    <t>여비교통(법인)-0</t>
  </si>
  <si>
    <t>여비교통(법인)-1</t>
  </si>
  <si>
    <t>여비교통(개인)-1</t>
  </si>
  <si>
    <t>접대비</t>
    <phoneticPr fontId="1" type="noConversion"/>
  </si>
  <si>
    <t>회식비</t>
    <phoneticPr fontId="1" type="noConversion"/>
  </si>
  <si>
    <t>회의식대</t>
    <phoneticPr fontId="1" type="noConversion"/>
  </si>
  <si>
    <t>접대비</t>
    <phoneticPr fontId="1" type="noConversion"/>
  </si>
  <si>
    <t>회식비</t>
    <phoneticPr fontId="1" type="noConversion"/>
  </si>
  <si>
    <t>회의식대</t>
    <phoneticPr fontId="1" type="noConversion"/>
  </si>
  <si>
    <t>기타(법인카드)</t>
    <phoneticPr fontId="1" type="noConversion"/>
  </si>
  <si>
    <t>야근/휴일식대</t>
    <phoneticPr fontId="1" type="noConversion"/>
  </si>
  <si>
    <t>야근/휴일식대</t>
    <phoneticPr fontId="1" type="noConversion"/>
  </si>
  <si>
    <t>강윤수 4289-0993-0608-5222</t>
    <phoneticPr fontId="1" type="noConversion"/>
  </si>
  <si>
    <t>휴대폰 요금</t>
    <phoneticPr fontId="1" type="noConversion"/>
  </si>
  <si>
    <t>*개인/법인카드 지출은 사적사용을 금합니다.</t>
    <phoneticPr fontId="1" type="noConversion"/>
  </si>
  <si>
    <t>*개인/법인카드 지출은 사적사용을 금합니다.</t>
  </si>
  <si>
    <t>* 법인카드 사적 사용 시 지급정지 및 발급제한 등 불이익이 발생됩니다.</t>
    <phoneticPr fontId="1" type="noConversion"/>
  </si>
  <si>
    <t>* 법인카드 사적 사용 시 지급정지 및 발급제한 등 불이익이 발생됩니다.</t>
    <phoneticPr fontId="1" type="noConversion"/>
  </si>
  <si>
    <t>* 법인카드 사적 사용 시 지급정지 및 발급제한 등 불이익이 발생됩니다.</t>
    <phoneticPr fontId="1" type="noConversion"/>
  </si>
  <si>
    <t>* 법인카드 사적 사용 시 지급정지 및 발급제한 등 불이익이 발생됩니다.</t>
    <phoneticPr fontId="1" type="noConversion"/>
  </si>
  <si>
    <t>* 개인지출 사적 사용 시 지급정지 등 불이익이 발생됩니다.</t>
    <phoneticPr fontId="1" type="noConversion"/>
  </si>
  <si>
    <t>* 개인지출 사적 사용 시 지급정지 등 불이익이 발생됩니다.</t>
    <phoneticPr fontId="1" type="noConversion"/>
  </si>
  <si>
    <t>* 개인지출 사적 사용 시 지급정지 등 불이익이 발생됩니다.</t>
    <phoneticPr fontId="1" type="noConversion"/>
  </si>
  <si>
    <t>자기차량(주행거리)</t>
    <phoneticPr fontId="1" type="noConversion"/>
  </si>
  <si>
    <t>일반차량</t>
    <phoneticPr fontId="1" type="noConversion"/>
  </si>
  <si>
    <t>전기차량</t>
    <phoneticPr fontId="1" type="noConversion"/>
  </si>
  <si>
    <t>자기차량(운행일지)</t>
    <phoneticPr fontId="1" type="noConversion"/>
  </si>
  <si>
    <t>자기차량(주행거리)</t>
    <phoneticPr fontId="1" type="noConversion"/>
  </si>
  <si>
    <t>일반차량</t>
    <phoneticPr fontId="1" type="noConversion"/>
  </si>
  <si>
    <t>전기차량</t>
    <phoneticPr fontId="1" type="noConversion"/>
  </si>
  <si>
    <t>자기차량(주행거리)</t>
    <phoneticPr fontId="1" type="noConversion"/>
  </si>
  <si>
    <t>전기차량</t>
    <phoneticPr fontId="1" type="noConversion"/>
  </si>
  <si>
    <t>자기차량(주행거리)</t>
    <phoneticPr fontId="1" type="noConversion"/>
  </si>
  <si>
    <t>강정훈 5589-2098-8196-3412</t>
    <phoneticPr fontId="1" type="noConversion"/>
  </si>
  <si>
    <t>고동언 5589-2098-8256-1090</t>
    <phoneticPr fontId="1" type="noConversion"/>
  </si>
  <si>
    <t>권영욱 4289-0993-0658-8282</t>
    <phoneticPr fontId="1" type="noConversion"/>
  </si>
  <si>
    <t>권태욱 5589-2098-8188-9377</t>
    <phoneticPr fontId="1" type="noConversion"/>
  </si>
  <si>
    <t>김경진 5589-2098-8216-9449</t>
    <phoneticPr fontId="1" type="noConversion"/>
  </si>
  <si>
    <t>김계웅 4289-0993-0539-4906</t>
    <phoneticPr fontId="1" type="noConversion"/>
  </si>
  <si>
    <t>김기준 4101-2020-0344-1393</t>
    <phoneticPr fontId="1" type="noConversion"/>
  </si>
  <si>
    <t>김길수 4289-0993-0721-3658</t>
    <phoneticPr fontId="1" type="noConversion"/>
  </si>
  <si>
    <t>김덕주 4140-2546-5232-3961</t>
    <phoneticPr fontId="1" type="noConversion"/>
  </si>
  <si>
    <t>김두식 4289-0993-0685-6721</t>
    <phoneticPr fontId="1" type="noConversion"/>
  </si>
  <si>
    <t>김병국 5589-2098-8108-3534</t>
    <phoneticPr fontId="1" type="noConversion"/>
  </si>
  <si>
    <t>김보선 5589-2098-8214-2636</t>
    <phoneticPr fontId="1" type="noConversion"/>
  </si>
  <si>
    <t>김상민 4289-0993-0604-6612</t>
    <phoneticPr fontId="1" type="noConversion"/>
  </si>
  <si>
    <t>김성진 5589-2098-8196-3396</t>
    <phoneticPr fontId="1" type="noConversion"/>
  </si>
  <si>
    <t>김성호 5589-2098-8108-3484</t>
    <phoneticPr fontId="1" type="noConversion"/>
  </si>
  <si>
    <t>김수연 5589-2098-8108-3674</t>
    <phoneticPr fontId="1" type="noConversion"/>
  </si>
  <si>
    <t>김영각 5589-2098-8235-8596</t>
    <phoneticPr fontId="1" type="noConversion"/>
  </si>
  <si>
    <t>김영호 5525-7641-9964-0935</t>
    <phoneticPr fontId="1" type="noConversion"/>
  </si>
  <si>
    <t>김용구 4289-0993-0718-7365</t>
    <phoneticPr fontId="1" type="noConversion"/>
  </si>
  <si>
    <t>김재홍 4140-2546-5232-3946</t>
    <phoneticPr fontId="1" type="noConversion"/>
  </si>
  <si>
    <t>김정훈 4289-0993-0540-4770</t>
    <phoneticPr fontId="1" type="noConversion"/>
  </si>
  <si>
    <t>김종현 4289-0993-0728-0004</t>
    <phoneticPr fontId="1" type="noConversion"/>
  </si>
  <si>
    <t>김지훈 5589-2098-8108-3930</t>
    <phoneticPr fontId="1" type="noConversion"/>
  </si>
  <si>
    <t>김철 4289-0993-0574-1551</t>
    <phoneticPr fontId="1" type="noConversion"/>
  </si>
  <si>
    <t>김철재 5589-2098-8224-0398</t>
    <phoneticPr fontId="1" type="noConversion"/>
  </si>
  <si>
    <t>김철정 4289-0993-0597-1737</t>
    <phoneticPr fontId="1" type="noConversion"/>
  </si>
  <si>
    <t>김한상 4289-0993-0604-6604</t>
    <phoneticPr fontId="1" type="noConversion"/>
  </si>
  <si>
    <t>남수호 5589-2098-8189-7487</t>
    <phoneticPr fontId="1" type="noConversion"/>
  </si>
  <si>
    <t>노대웅 5584-2040-0260-4669</t>
    <phoneticPr fontId="1" type="noConversion"/>
  </si>
  <si>
    <t>박건상 5589-2098-8188-9336</t>
    <phoneticPr fontId="1" type="noConversion"/>
  </si>
  <si>
    <t>박관석 4289-0993-1000-4177</t>
    <phoneticPr fontId="1" type="noConversion"/>
  </si>
  <si>
    <t>박민지 5589-2098-8196-3420</t>
    <phoneticPr fontId="1" type="noConversion"/>
  </si>
  <si>
    <t>박상엽 5589-2098-8108-3567</t>
    <phoneticPr fontId="1" type="noConversion"/>
  </si>
  <si>
    <t>박정서 5589-2098-8204-6035</t>
    <phoneticPr fontId="1" type="noConversion"/>
  </si>
  <si>
    <t>박정환 5589-2098-8200-0602</t>
    <phoneticPr fontId="1" type="noConversion"/>
  </si>
  <si>
    <t>박종수 5589-2098-8108-3492</t>
    <phoneticPr fontId="1" type="noConversion"/>
  </si>
  <si>
    <t>박진근 4140-2546-5248-0977</t>
    <phoneticPr fontId="1" type="noConversion"/>
  </si>
  <si>
    <t>박창현 5589-2098-8262-1068</t>
    <phoneticPr fontId="1" type="noConversion"/>
  </si>
  <si>
    <t>배경섭 4289-0993-0511-7505</t>
    <phoneticPr fontId="1" type="noConversion"/>
  </si>
  <si>
    <t>배경식 4101-2020-0760-6157</t>
    <phoneticPr fontId="1" type="noConversion"/>
  </si>
  <si>
    <t>배우현 5589-2098-8257-5520</t>
    <phoneticPr fontId="1" type="noConversion"/>
  </si>
  <si>
    <t>배한수 5589-2098-7893-0770</t>
    <phoneticPr fontId="1" type="noConversion"/>
  </si>
  <si>
    <t>서경우 5589-2098-8198-3816</t>
    <phoneticPr fontId="1" type="noConversion"/>
  </si>
  <si>
    <t>서동원 4101-2020-0760-6223</t>
    <phoneticPr fontId="1" type="noConversion"/>
  </si>
  <si>
    <t>서동원(9본부) 5589-2098-8108-3799</t>
    <phoneticPr fontId="1" type="noConversion"/>
  </si>
  <si>
    <t>서영민 5589-2098-8228-1137</t>
    <phoneticPr fontId="1" type="noConversion"/>
  </si>
  <si>
    <t>성택기 4289-0993-0685-5913</t>
    <phoneticPr fontId="1" type="noConversion"/>
  </si>
  <si>
    <t>손진호 4289-0993-0504-5748</t>
    <phoneticPr fontId="1" type="noConversion"/>
  </si>
  <si>
    <t>신영삼 9450-8190-0173-7799</t>
    <phoneticPr fontId="1" type="noConversion"/>
  </si>
  <si>
    <t>신지훈 5589-2098-8296-3239</t>
    <phoneticPr fontId="1" type="noConversion"/>
  </si>
  <si>
    <t>신호현 4289-0993-0454-0293</t>
    <phoneticPr fontId="1" type="noConversion"/>
  </si>
  <si>
    <t>안대철 4289-0993-0558-9935</t>
    <phoneticPr fontId="1" type="noConversion"/>
  </si>
  <si>
    <t>안창제 5589-2098-8219-4538</t>
    <phoneticPr fontId="1" type="noConversion"/>
  </si>
  <si>
    <t>양영광 4101-2020-0760-6207</t>
    <phoneticPr fontId="1" type="noConversion"/>
  </si>
  <si>
    <t>양정훈 5589-2098-8108-3476</t>
    <phoneticPr fontId="1" type="noConversion"/>
  </si>
  <si>
    <t>여지혁 4289-0993-0680-4838</t>
    <phoneticPr fontId="1" type="noConversion"/>
  </si>
  <si>
    <t>여지환 4289-0993-0681-5511</t>
    <phoneticPr fontId="1" type="noConversion"/>
  </si>
  <si>
    <t>염재인 4140-2546-5519-3973</t>
    <phoneticPr fontId="1" type="noConversion"/>
  </si>
  <si>
    <t>오상래 4289-0993-0694-4980</t>
    <phoneticPr fontId="1" type="noConversion"/>
  </si>
  <si>
    <t>오파스넷 3763-658201-31921</t>
    <phoneticPr fontId="1" type="noConversion"/>
  </si>
  <si>
    <t>오파스넷 4101-2020-0760-6173</t>
    <phoneticPr fontId="1" type="noConversion"/>
  </si>
  <si>
    <t>오파스넷 4518-4445-0358-4218</t>
    <phoneticPr fontId="1" type="noConversion"/>
  </si>
  <si>
    <t>오파스넷 5584-2040-0260-4545</t>
    <phoneticPr fontId="1" type="noConversion"/>
  </si>
  <si>
    <t>오파스넷 5584-2040-0260-4552</t>
    <phoneticPr fontId="1" type="noConversion"/>
  </si>
  <si>
    <t>오파스넷 5584-2040-0260-4560</t>
    <phoneticPr fontId="1" type="noConversion"/>
  </si>
  <si>
    <t>오파스넷 5584-2040-0260-4578</t>
    <phoneticPr fontId="1" type="noConversion"/>
  </si>
  <si>
    <t>오파스넷 5584-2040-0260-4586</t>
    <phoneticPr fontId="1" type="noConversion"/>
  </si>
  <si>
    <t>오파스넷 5584-2040-0260-4636</t>
    <phoneticPr fontId="1" type="noConversion"/>
  </si>
  <si>
    <t>오파스넷 5584-2040-0260-4644</t>
    <phoneticPr fontId="1" type="noConversion"/>
  </si>
  <si>
    <t>오파스넷 5584-2040-0260-4651</t>
    <phoneticPr fontId="1" type="noConversion"/>
  </si>
  <si>
    <t>오파스넷 5589-2098-8108-3443</t>
    <phoneticPr fontId="1" type="noConversion"/>
  </si>
  <si>
    <t>오파스넷 5589-2098-8108-3450</t>
    <phoneticPr fontId="1" type="noConversion"/>
  </si>
  <si>
    <t>오파스넷 5589-2098-8108-3682</t>
    <phoneticPr fontId="1" type="noConversion"/>
  </si>
  <si>
    <t>오파스넷 5589-2098-8108-3724</t>
    <phoneticPr fontId="1" type="noConversion"/>
  </si>
  <si>
    <t>오파스넷 5589-2098-8108-3781</t>
    <phoneticPr fontId="1" type="noConversion"/>
  </si>
  <si>
    <t>오파스넷 9435-2017-0786-7008</t>
    <phoneticPr fontId="1" type="noConversion"/>
  </si>
  <si>
    <t>오파스넷 9435-2017-0786-7016</t>
    <phoneticPr fontId="1" type="noConversion"/>
  </si>
  <si>
    <t>유기현 5589-2098-8214-5092</t>
    <phoneticPr fontId="1" type="noConversion"/>
  </si>
  <si>
    <t>유세복 5589-2098-8108-3880</t>
    <phoneticPr fontId="1" type="noConversion"/>
  </si>
  <si>
    <t>유신 5589-2098-8108-3732</t>
    <phoneticPr fontId="1" type="noConversion"/>
  </si>
  <si>
    <t>윤명현 5589-2098-8108-3765</t>
    <phoneticPr fontId="1" type="noConversion"/>
  </si>
  <si>
    <t>윤상완 4289-0993-0629-3297</t>
    <phoneticPr fontId="1" type="noConversion"/>
  </si>
  <si>
    <t>윤성호 5589-2098-8108-3914</t>
    <phoneticPr fontId="1" type="noConversion"/>
  </si>
  <si>
    <t>윤주헌 4289-0993-0672-5256</t>
    <phoneticPr fontId="1" type="noConversion"/>
  </si>
  <si>
    <t>윤지호 5589-2098-8108-3609</t>
    <phoneticPr fontId="1" type="noConversion"/>
  </si>
  <si>
    <t>이관용 5584-2040-0260-4610</t>
    <phoneticPr fontId="1" type="noConversion"/>
  </si>
  <si>
    <t>이기준 4289-0993-0454-0319</t>
    <phoneticPr fontId="1" type="noConversion"/>
  </si>
  <si>
    <t>이동하 5589-2098-8214-2107</t>
    <phoneticPr fontId="1" type="noConversion"/>
  </si>
  <si>
    <t>이문희 4289-0993-0623-1743</t>
    <phoneticPr fontId="1" type="noConversion"/>
  </si>
  <si>
    <t>이상권 4289-0993-0719-0039</t>
    <phoneticPr fontId="1" type="noConversion"/>
  </si>
  <si>
    <t>이상범 5589-2098-8188-9344</t>
    <phoneticPr fontId="1" type="noConversion"/>
  </si>
  <si>
    <t>이상호 4289-0993-0719-1508</t>
    <phoneticPr fontId="1" type="noConversion"/>
  </si>
  <si>
    <t>이원영 5589-2098-8137-8199</t>
    <phoneticPr fontId="1" type="noConversion"/>
  </si>
  <si>
    <t>이율복 5589-2098-8235-4546</t>
    <phoneticPr fontId="1" type="noConversion"/>
  </si>
  <si>
    <t>이재훈 5589-2098-8108-3583</t>
    <phoneticPr fontId="1" type="noConversion"/>
  </si>
  <si>
    <t>이호정 5589-2098-8108-3617</t>
    <phoneticPr fontId="1" type="noConversion"/>
  </si>
  <si>
    <t>이후범 4289-0993-0707-7723</t>
    <phoneticPr fontId="1" type="noConversion"/>
  </si>
  <si>
    <t>장동내 4289-0993-0698-3947</t>
    <phoneticPr fontId="1" type="noConversion"/>
  </si>
  <si>
    <t>장수현 5589-2098-8188-9351</t>
    <phoneticPr fontId="1" type="noConversion"/>
  </si>
  <si>
    <t>장윤환 5589-2098-8108-3864</t>
    <phoneticPr fontId="1" type="noConversion"/>
  </si>
  <si>
    <t>장재환 5589-2098-8108-3856</t>
    <phoneticPr fontId="1" type="noConversion"/>
  </si>
  <si>
    <t>정윤호 4289-0993-0670-9250</t>
    <phoneticPr fontId="1" type="noConversion"/>
  </si>
  <si>
    <t>정재현 4289-0993-0722-0737</t>
    <phoneticPr fontId="1" type="noConversion"/>
  </si>
  <si>
    <t>정정인 4289-0993-0630-8681</t>
    <phoneticPr fontId="1" type="noConversion"/>
  </si>
  <si>
    <t>정철훈 5589-2098-8196-3404</t>
    <phoneticPr fontId="1" type="noConversion"/>
  </si>
  <si>
    <t>정현호 5589-2098-8108-3641</t>
    <phoneticPr fontId="1" type="noConversion"/>
  </si>
  <si>
    <t>정희영 4101-2020-0920-8234</t>
    <phoneticPr fontId="1" type="noConversion"/>
  </si>
  <si>
    <t>제갈응식 5584-2040-0260-4602</t>
    <phoneticPr fontId="1" type="noConversion"/>
  </si>
  <si>
    <t>조덕현 5589-2098-8108-3625</t>
    <phoneticPr fontId="1" type="noConversion"/>
  </si>
  <si>
    <t>조동국 5584-2040-0260-4628</t>
    <phoneticPr fontId="1" type="noConversion"/>
  </si>
  <si>
    <t>조성민 6243-4600-1359-6374</t>
    <phoneticPr fontId="1" type="noConversion"/>
  </si>
  <si>
    <t>조홍진 4289-0993-0509-0140</t>
    <phoneticPr fontId="1" type="noConversion"/>
  </si>
  <si>
    <t>지명근 5589-2098-8108-3971</t>
    <phoneticPr fontId="1" type="noConversion"/>
  </si>
  <si>
    <t>차민학 4289-0993-0491-2005</t>
    <phoneticPr fontId="1" type="noConversion"/>
  </si>
  <si>
    <t>차화신 5589-2098-8108-3757</t>
    <phoneticPr fontId="1" type="noConversion"/>
  </si>
  <si>
    <t>최대섭 4289-0993-0518-7920</t>
    <phoneticPr fontId="1" type="noConversion"/>
  </si>
  <si>
    <t>최두환 5589-2098-8108-3542</t>
    <phoneticPr fontId="1" type="noConversion"/>
  </si>
  <si>
    <t>최유형 5589-2098-8108-3716</t>
    <phoneticPr fontId="1" type="noConversion"/>
  </si>
  <si>
    <t>최재훈 5589-2098-8108-3740</t>
    <phoneticPr fontId="1" type="noConversion"/>
  </si>
  <si>
    <t>최형탁 4140-2546-5243-4958</t>
    <phoneticPr fontId="1" type="noConversion"/>
  </si>
  <si>
    <t>한용진 4101-2020-0760-6231</t>
    <phoneticPr fontId="1" type="noConversion"/>
  </si>
  <si>
    <t>한재렴 5589-2098-8108-3633</t>
    <phoneticPr fontId="1" type="noConversion"/>
  </si>
  <si>
    <t>한춘희 5589-2098-8108-3948</t>
    <phoneticPr fontId="1" type="noConversion"/>
  </si>
  <si>
    <t>허선희 4101-2020-0760-6199</t>
    <phoneticPr fontId="1" type="noConversion"/>
  </si>
  <si>
    <t>허철 4101-2020-0344-1526</t>
    <phoneticPr fontId="1" type="noConversion"/>
  </si>
  <si>
    <t>허철 5589-2098-8188-9369</t>
    <phoneticPr fontId="1" type="noConversion"/>
  </si>
  <si>
    <t>홍승표 4289-0993-0698-3244</t>
    <phoneticPr fontId="1" type="noConversion"/>
  </si>
  <si>
    <t>황주연 4140-2546-5232-3953</t>
    <phoneticPr fontId="1" type="noConversion"/>
  </si>
  <si>
    <t>황하돈 4289-0993-0681-5149</t>
    <phoneticPr fontId="1" type="noConversion"/>
  </si>
  <si>
    <t>정운혁 4289-0993-1042-5224</t>
    <phoneticPr fontId="1" type="noConversion"/>
  </si>
  <si>
    <t>임상빈 4289-0993-1048-9964</t>
    <phoneticPr fontId="1" type="noConversion"/>
  </si>
  <si>
    <t>이준학 4289-0993-1032-6869</t>
    <phoneticPr fontId="1" type="noConversion"/>
  </si>
  <si>
    <t>박찬영 4289-0993-1034-5711</t>
    <phoneticPr fontId="1" type="noConversion"/>
  </si>
  <si>
    <t>백민호 4289-0993-1021-5039</t>
    <phoneticPr fontId="1" type="noConversion"/>
  </si>
  <si>
    <t>노명훈 4289-0993-1056-7710</t>
    <phoneticPr fontId="1" type="noConversion"/>
  </si>
  <si>
    <t>2본부R&amp;D 5584-2040-0374-9406</t>
    <phoneticPr fontId="1" type="noConversion"/>
  </si>
  <si>
    <t>김대진 4289-0993-1083-2312</t>
    <phoneticPr fontId="1" type="noConversion"/>
  </si>
  <si>
    <t>김석중 5589-2098-9098-9697</t>
    <phoneticPr fontId="1" type="noConversion"/>
  </si>
  <si>
    <t>이윤희 4289-0993-1051-7376</t>
    <phoneticPr fontId="1" type="noConversion"/>
  </si>
  <si>
    <t>배재성 4289-0993-1049-9757</t>
    <phoneticPr fontId="1" type="noConversion"/>
  </si>
  <si>
    <t>박성배 4140-2546-6297-4969</t>
    <phoneticPr fontId="1" type="noConversion"/>
  </si>
  <si>
    <t>조중기 5589-2098-9177-2068</t>
    <phoneticPr fontId="1" type="noConversion"/>
  </si>
  <si>
    <t>직무등급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</si>
  <si>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</si>
  <si>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</si>
  <si>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</si>
  <si>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</si>
  <si>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P7</t>
    <phoneticPr fontId="1" type="noConversion"/>
  </si>
  <si>
    <t>P6</t>
    <phoneticPr fontId="1" type="noConversion"/>
  </si>
  <si>
    <t>P5</t>
    <phoneticPr fontId="1" type="noConversion"/>
  </si>
  <si>
    <t>직무등급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</si>
  <si>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</si>
  <si>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</si>
  <si>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</si>
  <si>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</si>
  <si>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</si>
  <si>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</si>
  <si>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P7</t>
    <phoneticPr fontId="1" type="noConversion"/>
  </si>
  <si>
    <t>직무등급</t>
    <phoneticPr fontId="1" type="noConversion"/>
  </si>
  <si>
    <t>김기준 4140-2732-6423-9985</t>
    <phoneticPr fontId="1" type="noConversion"/>
  </si>
  <si>
    <t>천재복 4289-0993-1020-3373</t>
    <phoneticPr fontId="1" type="noConversion"/>
  </si>
  <si>
    <t>장수현 4140-2768-4701-2977</t>
    <phoneticPr fontId="1" type="noConversion"/>
  </si>
  <si>
    <t>주송련 4289-0993-1013-8488</t>
    <phoneticPr fontId="1" type="noConversion"/>
  </si>
  <si>
    <t>배민우 5589-2098-9124-8309</t>
    <phoneticPr fontId="1" type="noConversion"/>
  </si>
  <si>
    <t>이익준 4289-0993-1060-8084</t>
    <phoneticPr fontId="1" type="noConversion"/>
  </si>
  <si>
    <t>유형근 5589-2098-9843-6683</t>
    <phoneticPr fontId="1" type="noConversion"/>
  </si>
  <si>
    <t>강정원 4289-0993-1006-3777</t>
    <phoneticPr fontId="1" type="noConversion"/>
  </si>
  <si>
    <t>남덕규 5589-2098-9293-3008</t>
    <phoneticPr fontId="1" type="noConversion"/>
  </si>
  <si>
    <t>박진성 4289-0993-1089-0245</t>
    <phoneticPr fontId="1" type="noConversion"/>
  </si>
  <si>
    <t>구정회 5589-2098-9728-3821</t>
    <phoneticPr fontId="1" type="noConversion"/>
  </si>
  <si>
    <t>송승호 5589-2098-9829-9180</t>
    <phoneticPr fontId="1" type="noConversion"/>
  </si>
  <si>
    <t>임병원 5589-2098-9222-3822</t>
    <phoneticPr fontId="1" type="noConversion"/>
  </si>
  <si>
    <t>서아람 5589-2098-9862-9089</t>
    <phoneticPr fontId="1" type="noConversion"/>
  </si>
  <si>
    <t>나승식 5589-2098-9967-4753</t>
    <phoneticPr fontId="1" type="noConversion"/>
  </si>
  <si>
    <t>이종철 5589-2098-9628-5710</t>
    <phoneticPr fontId="1" type="noConversion"/>
  </si>
  <si>
    <t>박현주 5589-2098-9917-5355</t>
    <phoneticPr fontId="1" type="noConversion"/>
  </si>
  <si>
    <t>최대수 5589-2098-9525-5300</t>
    <phoneticPr fontId="1" type="noConversion"/>
  </si>
  <si>
    <t>이존현 5589-2098-9451-5613</t>
    <phoneticPr fontId="1" type="noConversion"/>
  </si>
  <si>
    <t>이옥진 5589-2098-9890-1116</t>
    <phoneticPr fontId="1" type="noConversion"/>
  </si>
  <si>
    <t>김장규 5589-2098-9124-7178</t>
    <phoneticPr fontId="1" type="noConversion"/>
  </si>
  <si>
    <t>김장규 5589-2098-9791-6719</t>
    <phoneticPr fontId="1" type="noConversion"/>
  </si>
  <si>
    <t>김장규 5589-2098-9435-5010</t>
    <phoneticPr fontId="1" type="noConversion"/>
  </si>
  <si>
    <t>정대희 4140-2546-6067-3944</t>
    <phoneticPr fontId="1" type="noConversion"/>
  </si>
  <si>
    <t>김민호 4289-0993-1028-3540</t>
    <phoneticPr fontId="1" type="noConversion"/>
  </si>
  <si>
    <t>유광민 4289-0993-1052-6450</t>
    <phoneticPr fontId="1" type="noConversion"/>
  </si>
  <si>
    <t>박청운 4289-0993-1046-1674</t>
    <phoneticPr fontId="1" type="noConversion"/>
  </si>
  <si>
    <t>서상욱 5589-2098-9912-8651</t>
    <phoneticPr fontId="1" type="noConversion"/>
  </si>
  <si>
    <t>이상진 5589-2098-9750-3392</t>
    <phoneticPr fontId="1" type="noConversion"/>
  </si>
  <si>
    <t>박지호 4289-0993-1039-6102</t>
    <phoneticPr fontId="1" type="noConversion"/>
  </si>
  <si>
    <t>정재담 4289-0993-1090-9631</t>
    <phoneticPr fontId="1" type="noConversion"/>
  </si>
  <si>
    <t>이덕주 5584-2040-0260-4594</t>
    <phoneticPr fontId="1" type="noConversion"/>
  </si>
  <si>
    <t>한동성 4289-0993-1105-3868</t>
    <phoneticPr fontId="1" type="noConversion"/>
  </si>
  <si>
    <t>강병규 4289-0993-1130-2943</t>
    <phoneticPr fontId="1" type="noConversion"/>
  </si>
  <si>
    <t>정영호 5589-2098-9516-9915</t>
    <phoneticPr fontId="1" type="noConversion"/>
  </si>
  <si>
    <t>김지언 5589-2098-9946-1722</t>
    <phoneticPr fontId="1" type="noConversion"/>
  </si>
  <si>
    <t>민경일 5589-2098-9914-3148</t>
    <phoneticPr fontId="1" type="noConversion"/>
  </si>
  <si>
    <t>진영대 4289-0993-1184-1940</t>
    <phoneticPr fontId="1" type="noConversion"/>
  </si>
  <si>
    <t>남진혁 9451-2000-1364-6055</t>
    <phoneticPr fontId="1" type="noConversion"/>
  </si>
  <si>
    <t>조정호 4289-0993-1102-7912</t>
    <phoneticPr fontId="1" type="noConversion"/>
  </si>
  <si>
    <t>오세헌 4289-0993-1174-1892</t>
    <phoneticPr fontId="1" type="noConversion"/>
  </si>
  <si>
    <t>김봉호 4140-2546-6270-0927</t>
    <phoneticPr fontId="1" type="noConversion"/>
  </si>
  <si>
    <t>신윤수 5589-2098-9887-5542</t>
    <phoneticPr fontId="1" type="noConversion"/>
  </si>
  <si>
    <t>박경호 5589-2098-9771-0898</t>
    <phoneticPr fontId="1" type="noConversion"/>
  </si>
  <si>
    <t>연상혁 4101-2020-0966-1937</t>
    <phoneticPr fontId="1" type="noConversion"/>
  </si>
  <si>
    <t>김만호 5589-2098-9009-8192</t>
    <phoneticPr fontId="1" type="noConversion"/>
  </si>
  <si>
    <t>인정선 4289-0993-1146-6201</t>
    <phoneticPr fontId="1" type="noConversion"/>
  </si>
  <si>
    <t>조신의 4289-0993-1168-9273</t>
    <phoneticPr fontId="1" type="noConversion"/>
  </si>
  <si>
    <t>권도관 5275-8500-0582-2403</t>
    <phoneticPr fontId="1" type="noConversion"/>
  </si>
  <si>
    <t>박영우 5275-8500-0833-9983</t>
    <phoneticPr fontId="1" type="noConversion"/>
  </si>
  <si>
    <t>황성호 5275-8500-0952-4492</t>
    <phoneticPr fontId="1" type="noConversion"/>
  </si>
  <si>
    <t>박영덕 5275-8500-0900-8769</t>
    <phoneticPr fontId="1" type="noConversion"/>
  </si>
  <si>
    <t>김진영 4289-0993-1171-3297</t>
    <phoneticPr fontId="1" type="noConversion"/>
  </si>
  <si>
    <t>안철현 4289-0993-1135-9455</t>
    <phoneticPr fontId="1" type="noConversion"/>
  </si>
  <si>
    <t>김진석 4289-0993-1191-5694</t>
    <phoneticPr fontId="1" type="noConversion"/>
  </si>
  <si>
    <t>허준기 4289-0993-1193-6195</t>
    <phoneticPr fontId="1" type="noConversion"/>
  </si>
  <si>
    <t>이병석 4289-0993-1152-2763</t>
    <phoneticPr fontId="1" type="noConversion"/>
  </si>
  <si>
    <t>김영준 4289-0993-1108-5852</t>
    <phoneticPr fontId="1" type="noConversion"/>
  </si>
  <si>
    <t>오파스넷 4518-4445-1626-6928</t>
    <phoneticPr fontId="1" type="noConversion"/>
  </si>
  <si>
    <t>오파스넷 4518-4445-0358-4218</t>
    <phoneticPr fontId="1" type="noConversion"/>
  </si>
  <si>
    <t>오홍서 4289-0993-1168-1502</t>
    <phoneticPr fontId="1" type="noConversion"/>
  </si>
  <si>
    <t>박상훈 4289-0993-1158-7352</t>
    <phoneticPr fontId="1" type="noConversion"/>
  </si>
  <si>
    <t>김지연 4289-0993-1124-4657</t>
    <phoneticPr fontId="1" type="noConversion"/>
  </si>
  <si>
    <t>박광수 4289-0993-1198-6927</t>
    <phoneticPr fontId="1" type="noConversion"/>
  </si>
  <si>
    <t>신호현 4289-0993-1173-2768</t>
    <phoneticPr fontId="1" type="noConversion"/>
  </si>
  <si>
    <t>이성민 4289-0993-1184-9026</t>
    <phoneticPr fontId="1" type="noConversion"/>
  </si>
  <si>
    <t>김종우 4289-0993-1165-3907</t>
    <phoneticPr fontId="1" type="noConversion"/>
  </si>
  <si>
    <t>정윤호 4289-0993-1180-2488</t>
    <phoneticPr fontId="1" type="noConversion"/>
  </si>
  <si>
    <t>변은수 4289-0993-1160-5782</t>
    <phoneticPr fontId="1" type="noConversion"/>
  </si>
  <si>
    <t>한지호 4289-0993-1162-1912</t>
    <phoneticPr fontId="1" type="noConversion"/>
  </si>
  <si>
    <t>인정선 4289-0993-1187-6862</t>
    <phoneticPr fontId="1" type="noConversion"/>
  </si>
  <si>
    <t>차민학 4289-0993-1197-9062</t>
    <phoneticPr fontId="1" type="noConversion"/>
  </si>
  <si>
    <t>권용준 4289-0993-1174-2015</t>
    <phoneticPr fontId="1" type="noConversion"/>
  </si>
  <si>
    <t>허태원 4289-0993-1135-5701</t>
    <phoneticPr fontId="1" type="noConversion"/>
  </si>
  <si>
    <t>오평록 4289-0993-1189-9765</t>
    <phoneticPr fontId="1" type="noConversion"/>
  </si>
  <si>
    <t>김종서 4289-0993-1190-2460</t>
    <phoneticPr fontId="1" type="noConversion"/>
  </si>
  <si>
    <t>황성호 4289-0993-1295-0187</t>
    <phoneticPr fontId="1" type="noConversion"/>
  </si>
  <si>
    <t>오파스넷 3763-658265-88884</t>
    <phoneticPr fontId="1" type="noConversion"/>
  </si>
  <si>
    <t>조홍진 4289-0993-1288-7678</t>
    <phoneticPr fontId="1" type="noConversion"/>
  </si>
  <si>
    <t>배경섭 4289-0993-1208-1959</t>
    <phoneticPr fontId="1" type="noConversion"/>
  </si>
  <si>
    <t>손표길 4289-0993-1294-1954</t>
    <phoneticPr fontId="1" type="noConversion"/>
  </si>
  <si>
    <t>최대섭 4289-0993-1289-1340</t>
    <phoneticPr fontId="1" type="noConversion"/>
  </si>
  <si>
    <t>한승철 4289-0993-1253-1045</t>
    <phoneticPr fontId="1" type="noConversion"/>
  </si>
  <si>
    <t>정재식 4289-0993-1290-9712</t>
    <phoneticPr fontId="1" type="noConversion"/>
  </si>
  <si>
    <t>김재현 4289-0993-1274-3145</t>
    <phoneticPr fontId="1" type="noConversion"/>
  </si>
  <si>
    <t>한상윤 4289-0993-1226-3409</t>
    <phoneticPr fontId="1" type="noConversion"/>
  </si>
  <si>
    <t>윤석준 4289-0993-1294-0584</t>
    <phoneticPr fontId="1" type="noConversion"/>
  </si>
  <si>
    <t>조완구 4289-0993-1269-8265</t>
    <phoneticPr fontId="1" type="noConversion"/>
  </si>
  <si>
    <t>한용길 4289-0993-1268-9546</t>
    <phoneticPr fontId="1" type="noConversion"/>
  </si>
  <si>
    <t>김형일 4289-0993-1238-4650</t>
    <phoneticPr fontId="1" type="noConversion"/>
  </si>
  <si>
    <t>김계웅 4289-0993-1207-3113</t>
    <phoneticPr fontId="1" type="noConversion"/>
  </si>
  <si>
    <t>최형탁 4140-2546-6061-8931</t>
    <phoneticPr fontId="1" type="noConversion"/>
  </si>
  <si>
    <t>김영환 4289-0993-1273-0050</t>
    <phoneticPr fontId="1" type="noConversion"/>
  </si>
  <si>
    <t>김정훈 4289-0993-1270-6423</t>
    <phoneticPr fontId="1" type="noConversion"/>
  </si>
  <si>
    <t>이윤희 4289-0993-1235-3267</t>
    <phoneticPr fontId="1" type="noConversion"/>
  </si>
  <si>
    <t>권용화 4289-0993-1286-5500</t>
    <phoneticPr fontId="1" type="noConversion"/>
  </si>
  <si>
    <t>윤기정 4289-0993-1204-0807</t>
    <phoneticPr fontId="1" type="noConversion"/>
  </si>
  <si>
    <t>한준희 4289-0993-1252-7753</t>
    <phoneticPr fontId="1" type="noConversion"/>
  </si>
  <si>
    <t>강정규 4289-0993-1206-3197</t>
    <phoneticPr fontId="1" type="noConversion"/>
  </si>
  <si>
    <t>일</t>
    <phoneticPr fontId="1" type="noConversion"/>
  </si>
  <si>
    <t>고제광 4289-0993-1280-0531</t>
    <phoneticPr fontId="1" type="noConversion"/>
  </si>
  <si>
    <t>안대철 4289-0993-1269-7275</t>
    <phoneticPr fontId="1" type="noConversion"/>
  </si>
  <si>
    <t>김용구(전략사업부) 4289-0993-0718-7365</t>
    <phoneticPr fontId="1" type="noConversion"/>
  </si>
  <si>
    <t>김용구(BSI사업부) 4289-0993-1240-2049</t>
    <phoneticPr fontId="1" type="noConversion"/>
  </si>
  <si>
    <t>서준형 4289-0993-1224-1751</t>
    <phoneticPr fontId="1" type="noConversion"/>
  </si>
  <si>
    <t>조용현 4289-0993-1271-9731</t>
    <phoneticPr fontId="1" type="noConversion"/>
  </si>
  <si>
    <t>김건우 4289-0993-1226-1452</t>
    <phoneticPr fontId="1" type="noConversion"/>
  </si>
  <si>
    <t>김철 4289-0993-1239-0236</t>
    <phoneticPr fontId="1" type="noConversion"/>
  </si>
  <si>
    <t>서용상 4289-0993-1247-2299</t>
    <phoneticPr fontId="1" type="noConversion"/>
  </si>
  <si>
    <t>박진근 4140-2546-6624-3932</t>
    <phoneticPr fontId="1" type="noConversion"/>
  </si>
  <si>
    <t>오상래 4289-0993-1213-9138</t>
    <phoneticPr fontId="1" type="noConversion"/>
  </si>
  <si>
    <t>장혁수 4289-0993-1206-0540</t>
    <phoneticPr fontId="1" type="noConversion"/>
  </si>
  <si>
    <t>남지현 4289-0993-1280-9854</t>
    <phoneticPr fontId="1" type="noConversion"/>
  </si>
  <si>
    <t>문찬호 4289-0993-1202-0072</t>
    <phoneticPr fontId="1" type="noConversion"/>
  </si>
  <si>
    <t>권보근 4289-0993-1213-6464</t>
    <phoneticPr fontId="1" type="noConversion"/>
  </si>
  <si>
    <t>황주연 4140-2546-6140-4992</t>
    <phoneticPr fontId="1" type="noConversion"/>
  </si>
  <si>
    <t>김덕주 4140-2546-6508-6977</t>
    <phoneticPr fontId="1" type="noConversion"/>
  </si>
  <si>
    <t>김재홍 4140-2546-6298-1998</t>
    <phoneticPr fontId="1" type="noConversion"/>
  </si>
  <si>
    <t>김성호(D본부) 4289-0993-1215-9466</t>
    <phoneticPr fontId="1" type="noConversion"/>
  </si>
  <si>
    <t>김수환 4289-0993-1228-4959</t>
    <phoneticPr fontId="1" type="noConversion"/>
  </si>
  <si>
    <t>김상민 4289-0993-1236-5402</t>
    <phoneticPr fontId="1" type="noConversion"/>
  </si>
  <si>
    <t>김철정 4289-0993-1306-6702</t>
    <phoneticPr fontId="1" type="noConversion"/>
  </si>
  <si>
    <t>신무진 4289-0993-1356-6743</t>
    <phoneticPr fontId="1" type="noConversion"/>
  </si>
  <si>
    <t>유정덕 4289-0993-1388-8071</t>
    <phoneticPr fontId="1" type="noConversion"/>
  </si>
  <si>
    <t>백민호 4289-0993-1322-2552</t>
    <phoneticPr fontId="1" type="noConversion"/>
  </si>
  <si>
    <t>박성훈 4289-0993-1342-3895</t>
    <phoneticPr fontId="1" type="noConversion"/>
  </si>
  <si>
    <t>오파스넷 5275-8500-0340-8601</t>
    <phoneticPr fontId="1" type="noConversion"/>
  </si>
  <si>
    <t>오파스넷 5275-8500-0393-8235</t>
    <phoneticPr fontId="1" type="noConversion"/>
  </si>
  <si>
    <t>오파스넷 5275-8500-0069-6786</t>
    <phoneticPr fontId="1" type="noConversion"/>
  </si>
  <si>
    <t>오파스넷 9435-2017-1804-0603</t>
    <phoneticPr fontId="1" type="noConversion"/>
  </si>
  <si>
    <t>오파스넷 9435-2017-1804-0611</t>
    <phoneticPr fontId="1" type="noConversion"/>
  </si>
  <si>
    <t>오파스넷 5589-2098-9403-8897</t>
    <phoneticPr fontId="1" type="noConversion"/>
  </si>
  <si>
    <t>오파스넷 5589-2098-9004-1796</t>
    <phoneticPr fontId="1" type="noConversion"/>
  </si>
  <si>
    <t>오파스넷 5589-2098-9997-7388</t>
    <phoneticPr fontId="1" type="noConversion"/>
  </si>
  <si>
    <t>오파스넷 5589-2098-9940-9135</t>
    <phoneticPr fontId="1" type="noConversion"/>
  </si>
  <si>
    <t>오파스넷 5589-2098-9345-8294</t>
    <phoneticPr fontId="1" type="noConversion"/>
  </si>
  <si>
    <t>오파스넷 4101-2020-1033-8780</t>
    <phoneticPr fontId="1" type="noConversion"/>
  </si>
  <si>
    <t>오파스넷 4101-2020-1033-8798</t>
    <phoneticPr fontId="1" type="noConversion"/>
  </si>
  <si>
    <t>오파스넷 5584-2040-0463-7600</t>
    <phoneticPr fontId="1" type="noConversion"/>
  </si>
  <si>
    <t>오파스넷 5584-2040-0463-7618</t>
    <phoneticPr fontId="1" type="noConversion"/>
  </si>
  <si>
    <t>오파스넷 5584-2040-0463-7626</t>
    <phoneticPr fontId="1" type="noConversion"/>
  </si>
  <si>
    <t>오파스넷 5584-2040-0463-7634</t>
    <phoneticPr fontId="1" type="noConversion"/>
  </si>
  <si>
    <t>오파스넷 5584-2040-0463-7642</t>
    <phoneticPr fontId="1" type="noConversion"/>
  </si>
  <si>
    <t>오파스넷 5584-2040-0463-7659</t>
    <phoneticPr fontId="1" type="noConversion"/>
  </si>
  <si>
    <t>오파스넷 5584-2040-0463-7667</t>
    <phoneticPr fontId="1" type="noConversion"/>
  </si>
  <si>
    <t>오파스넷 5584-2040-0463-7675</t>
    <phoneticPr fontId="1" type="noConversion"/>
  </si>
  <si>
    <t>강정훈 5589-2098-9700-7931</t>
    <phoneticPr fontId="1" type="noConversion"/>
  </si>
  <si>
    <t>고동언 5589-2098-9999-1066</t>
    <phoneticPr fontId="1" type="noConversion"/>
  </si>
  <si>
    <t>구정회 5589-2098-9809-0183</t>
    <phoneticPr fontId="1" type="noConversion"/>
  </si>
  <si>
    <t>권도관 5275-8500-0540-4079</t>
    <phoneticPr fontId="1" type="noConversion"/>
  </si>
  <si>
    <t>권태욱 5589-2098-9679-7995</t>
    <phoneticPr fontId="1" type="noConversion"/>
  </si>
  <si>
    <t>김경진 5589-2098-9177-2373</t>
    <phoneticPr fontId="1" type="noConversion"/>
  </si>
  <si>
    <t>김만호 5589-2098-9709-2743</t>
    <phoneticPr fontId="1" type="noConversion"/>
  </si>
  <si>
    <t>김병국 5589-2098-9129-4352</t>
    <phoneticPr fontId="1" type="noConversion"/>
  </si>
  <si>
    <t>김보선 5589-2098-9883-3327</t>
    <phoneticPr fontId="1" type="noConversion"/>
  </si>
  <si>
    <t>김석중 5589-2098-9786-1550</t>
    <phoneticPr fontId="1" type="noConversion"/>
  </si>
  <si>
    <t>김성호(2본부) 5589-2098-9344-9145</t>
    <phoneticPr fontId="1" type="noConversion"/>
  </si>
  <si>
    <t>김영호 5589-2098-9814-4485</t>
    <phoneticPr fontId="1" type="noConversion"/>
  </si>
  <si>
    <t>김장규 5589-2098-9221-7261</t>
    <phoneticPr fontId="1" type="noConversion"/>
  </si>
  <si>
    <t>김장규 5589-2098-9307-7227</t>
    <phoneticPr fontId="1" type="noConversion"/>
  </si>
  <si>
    <t>김지훈 5589-2098-9826-6361</t>
    <phoneticPr fontId="1" type="noConversion"/>
  </si>
  <si>
    <t>김철재 5589-2098-9375-9121</t>
    <phoneticPr fontId="1" type="noConversion"/>
  </si>
  <si>
    <t>나승식 5589-2098-9648-3901</t>
    <phoneticPr fontId="1" type="noConversion"/>
  </si>
  <si>
    <t>남덕규 5589-2098-9035-6954</t>
    <phoneticPr fontId="1" type="noConversion"/>
  </si>
  <si>
    <t>남수호 5589-2098-9843-5941</t>
    <phoneticPr fontId="1" type="noConversion"/>
  </si>
  <si>
    <t>노대웅 5584-2040-0463-7691</t>
    <phoneticPr fontId="1" type="noConversion"/>
  </si>
  <si>
    <t>민경일 5589-2098-9777-6022</t>
    <phoneticPr fontId="1" type="noConversion"/>
  </si>
  <si>
    <t>박건상 5589-2098-9631-0658</t>
    <phoneticPr fontId="1" type="noConversion"/>
  </si>
  <si>
    <t>박경호 5589-2098-9885-0941</t>
    <phoneticPr fontId="1" type="noConversion"/>
  </si>
  <si>
    <t>박민지 5589-2098-9059-2574</t>
    <phoneticPr fontId="1" type="noConversion"/>
  </si>
  <si>
    <t>박영덕 5275-8500-0974-1377</t>
    <phoneticPr fontId="1" type="noConversion"/>
  </si>
  <si>
    <t>박영우 5275-8500-0042-5228</t>
    <phoneticPr fontId="1" type="noConversion"/>
  </si>
  <si>
    <t>박정서 5589-2098-9490-2001</t>
    <phoneticPr fontId="1" type="noConversion"/>
  </si>
  <si>
    <t>박정환 5589-2098-9211-2306</t>
    <phoneticPr fontId="1" type="noConversion"/>
  </si>
  <si>
    <t>박종수 5589-2098-9129-7959</t>
    <phoneticPr fontId="1" type="noConversion"/>
  </si>
  <si>
    <t>박창현 5589-2098-9466-7968</t>
    <phoneticPr fontId="1" type="noConversion"/>
  </si>
  <si>
    <t>박현주 5589-2098-9344-8246</t>
    <phoneticPr fontId="1" type="noConversion"/>
  </si>
  <si>
    <t>배경식 4101-2020-1033-8830</t>
    <phoneticPr fontId="1" type="noConversion"/>
  </si>
  <si>
    <t>배우현 5589-2098-9508-0351</t>
    <phoneticPr fontId="1" type="noConversion"/>
  </si>
  <si>
    <t>서경우 5589-2098-9406-9942</t>
    <phoneticPr fontId="1" type="noConversion"/>
  </si>
  <si>
    <t>서동원(솔루션사업부) 4101-2020-1033-8855</t>
    <phoneticPr fontId="1" type="noConversion"/>
  </si>
  <si>
    <t>서동원(9본부) 5589-2098-9058-1767</t>
    <phoneticPr fontId="1" type="noConversion"/>
  </si>
  <si>
    <t>서상욱 5589-2098-9863-2158</t>
    <phoneticPr fontId="1" type="noConversion"/>
  </si>
  <si>
    <t>서아람 5589-2098-9987-7208</t>
    <phoneticPr fontId="1" type="noConversion"/>
  </si>
  <si>
    <t>서영민 5589-2098-9608-1309</t>
    <phoneticPr fontId="1" type="noConversion"/>
  </si>
  <si>
    <t>송승호 5589-2098-9858-2965</t>
    <phoneticPr fontId="1" type="noConversion"/>
  </si>
  <si>
    <t>신윤수 5589-2098-9177-1342</t>
    <phoneticPr fontId="1" type="noConversion"/>
  </si>
  <si>
    <t>신지훈 5589-2098-9647-7143</t>
    <phoneticPr fontId="1" type="noConversion"/>
  </si>
  <si>
    <t>양영광 4101-2020-1033-8848</t>
    <phoneticPr fontId="1" type="noConversion"/>
  </si>
  <si>
    <t>연상혁 4101-2020-1033-8822</t>
    <phoneticPr fontId="1" type="noConversion"/>
  </si>
  <si>
    <t>유기현 5589-2098-9180-8193</t>
    <phoneticPr fontId="1" type="noConversion"/>
  </si>
  <si>
    <t>유세복 5589-2098-9573-1821</t>
    <phoneticPr fontId="1" type="noConversion"/>
  </si>
  <si>
    <t>유신 5589-2098-9327-9781</t>
    <phoneticPr fontId="1" type="noConversion"/>
  </si>
  <si>
    <t>유형근 5589-2098-9107-9779</t>
    <phoneticPr fontId="1" type="noConversion"/>
  </si>
  <si>
    <t>윤명현 5589-2098-9096-4732</t>
    <phoneticPr fontId="1" type="noConversion"/>
  </si>
  <si>
    <t>윤성호 5589-2098-9643-9747</t>
    <phoneticPr fontId="1" type="noConversion"/>
  </si>
  <si>
    <t>윤지호 5589-2098-9043-0379</t>
    <phoneticPr fontId="1" type="noConversion"/>
  </si>
  <si>
    <t>이관용 5584-2040-0463-7717</t>
    <phoneticPr fontId="1" type="noConversion"/>
  </si>
  <si>
    <t>이덕주 5584-2040-0463-7683</t>
    <phoneticPr fontId="1" type="noConversion"/>
  </si>
  <si>
    <t>이동하 5589-2098-9988-7157</t>
    <phoneticPr fontId="1" type="noConversion"/>
  </si>
  <si>
    <t>이상범 5589-2098-9985-6996</t>
    <phoneticPr fontId="1" type="noConversion"/>
  </si>
  <si>
    <t>이상진 5589-2098-9183-1831</t>
    <phoneticPr fontId="1" type="noConversion"/>
  </si>
  <si>
    <t>이옥진 5589-2098-9362-9464</t>
    <phoneticPr fontId="1" type="noConversion"/>
  </si>
  <si>
    <t>이원영 5589-2098-9135-1384</t>
    <phoneticPr fontId="1" type="noConversion"/>
  </si>
  <si>
    <t>이율복 5589-2098-9358-2689</t>
    <phoneticPr fontId="1" type="noConversion"/>
  </si>
  <si>
    <t>이재훈 5589-2098-9526-6208</t>
    <phoneticPr fontId="1" type="noConversion"/>
  </si>
  <si>
    <t>이존현 5589-2098-9224-5049</t>
    <phoneticPr fontId="1" type="noConversion"/>
  </si>
  <si>
    <t>이종철 5589-2098-9290-1120</t>
    <phoneticPr fontId="1" type="noConversion"/>
  </si>
  <si>
    <t>임병원 5589-2098-9795-6350</t>
    <phoneticPr fontId="1" type="noConversion"/>
  </si>
  <si>
    <t>장수현 5589-2098-9990-8110</t>
    <phoneticPr fontId="1" type="noConversion"/>
  </si>
  <si>
    <t>정영호 5589-2098-9616-2653</t>
    <phoneticPr fontId="1" type="noConversion"/>
  </si>
  <si>
    <t>정철훈 5589-2098-9587-7301</t>
    <phoneticPr fontId="1" type="noConversion"/>
  </si>
  <si>
    <t>정현호 5589-2098-9389-8531</t>
    <phoneticPr fontId="1" type="noConversion"/>
  </si>
  <si>
    <t>정희영 4101-2020-1033-8806</t>
    <phoneticPr fontId="1" type="noConversion"/>
  </si>
  <si>
    <t>조덕현 5589-2098-9622-9676</t>
    <phoneticPr fontId="1" type="noConversion"/>
  </si>
  <si>
    <t>조중기 5589-2098-9925-0422</t>
    <phoneticPr fontId="1" type="noConversion"/>
  </si>
  <si>
    <t>지명근 5589-2098-9225-7630</t>
    <phoneticPr fontId="1" type="noConversion"/>
  </si>
  <si>
    <t>차화신 5589-2098-9583-1944</t>
    <phoneticPr fontId="1" type="noConversion"/>
  </si>
  <si>
    <t>최대수 5589-2098-9623-0534</t>
    <phoneticPr fontId="1" type="noConversion"/>
  </si>
  <si>
    <t>최두환 5589-2098-9498-3050</t>
    <phoneticPr fontId="1" type="noConversion"/>
  </si>
  <si>
    <t>최유형 5589-2098-9140-1320</t>
    <phoneticPr fontId="1" type="noConversion"/>
  </si>
  <si>
    <t>한용진 4101-2020-1033-8814</t>
    <phoneticPr fontId="1" type="noConversion"/>
  </si>
  <si>
    <t>한재렴 5589-2098-9795-2821</t>
    <phoneticPr fontId="1" type="noConversion"/>
  </si>
  <si>
    <t>한춘희 5589-2098-9506-9032</t>
    <phoneticPr fontId="1" type="noConversion"/>
  </si>
  <si>
    <t>허철 5589-2098-9502-8962</t>
    <phoneticPr fontId="1" type="noConversion"/>
  </si>
  <si>
    <t>장윤환 5589-2098-9059-7581</t>
    <phoneticPr fontId="1" type="noConversion"/>
  </si>
  <si>
    <t>제갈응식 5584-2040-0463-7709</t>
    <phoneticPr fontId="1" type="noConversion"/>
  </si>
  <si>
    <t>최재훈 5589-2098-9623-3371</t>
    <phoneticPr fontId="1" type="noConversion"/>
  </si>
  <si>
    <t>하철호 4289-0993-1354-3049</t>
    <phoneticPr fontId="1" type="noConversion"/>
  </si>
  <si>
    <t>강윤수 4289-0993-1322-6512</t>
    <phoneticPr fontId="1" type="noConversion"/>
  </si>
  <si>
    <t>김형기 4289-0993-1379-3800</t>
    <phoneticPr fontId="1" type="noConversion"/>
  </si>
  <si>
    <t>차경인 4289-0993-1356-5414</t>
    <phoneticPr fontId="1" type="noConversion"/>
  </si>
  <si>
    <t>2026년</t>
    <phoneticPr fontId="1" type="noConversion"/>
  </si>
  <si>
    <t>2026년</t>
    <phoneticPr fontId="1" type="noConversion"/>
  </si>
  <si>
    <t>김한상 4289-0993-1379-3800</t>
    <phoneticPr fontId="1" type="noConversion"/>
  </si>
  <si>
    <t>금찬현 4289-0993-1313-4807</t>
    <phoneticPr fontId="1" type="noConversion"/>
  </si>
  <si>
    <t>나우열 4289-0993-1355-0051</t>
    <phoneticPr fontId="1" type="noConversion"/>
  </si>
  <si>
    <t>이정환 4289-0993-1350-5378</t>
    <phoneticPr fontId="1" type="noConversion"/>
  </si>
  <si>
    <t>이순규 4289-0993-1372-3542</t>
    <phoneticPr fontId="1" type="noConversion"/>
  </si>
  <si>
    <t>최호준 4289-0993-1345-1763</t>
    <phoneticPr fontId="1" type="noConversion"/>
  </si>
  <si>
    <t>최범규 4289-0993-1362-1647</t>
    <phoneticPr fontId="1" type="noConversion"/>
  </si>
  <si>
    <t>윤규랑 4289-0993-1322-3824</t>
    <phoneticPr fontId="1" type="noConversion"/>
  </si>
  <si>
    <t>김종용 4289-0993-1318-7474</t>
    <phoneticPr fontId="1" type="noConversion"/>
  </si>
  <si>
    <t>도만희 4289-0993-1382-5537</t>
    <phoneticPr fontId="1" type="noConversion"/>
  </si>
  <si>
    <t>장강욱 4289-0993-1357-7641</t>
    <phoneticPr fontId="1" type="noConversion"/>
  </si>
  <si>
    <t>정지훈 4289-0993-1354-1019</t>
    <phoneticPr fontId="1" type="noConversion"/>
  </si>
  <si>
    <t>최승헌 4289-0993-1338-6274</t>
    <phoneticPr fontId="1" type="noConversion"/>
  </si>
  <si>
    <t>장수현 4140-2770-5466-4922</t>
    <phoneticPr fontId="1" type="noConversion"/>
  </si>
  <si>
    <t>윤상완 4289-0993-1314-6439</t>
    <phoneticPr fontId="1" type="noConversion"/>
  </si>
  <si>
    <t>김영태 4289-0993-1348-7775</t>
    <phoneticPr fontId="1" type="noConversion"/>
  </si>
  <si>
    <t>박명용 4289-0993-1357-1776</t>
    <phoneticPr fontId="1" type="noConversion"/>
  </si>
  <si>
    <t>윤현섭 4289-0993-1312-5771</t>
    <phoneticPr fontId="1" type="noConversion"/>
  </si>
  <si>
    <t>박대건 4289-0993-1341-3524</t>
    <phoneticPr fontId="1" type="noConversion"/>
  </si>
  <si>
    <t>서현석 4289-0993-1311-3819</t>
    <phoneticPr fontId="1" type="noConversion"/>
  </si>
  <si>
    <t>장재환 5589-2098-9187-6497</t>
    <phoneticPr fontId="1" type="noConversion"/>
  </si>
  <si>
    <t>오파스넷 3763-658247-60279</t>
    <phoneticPr fontId="1" type="noConversion"/>
  </si>
  <si>
    <t>정정인 4289-0993-1307-0647</t>
    <phoneticPr fontId="1" type="noConversion"/>
  </si>
  <si>
    <t>진태언 4289-0993-1341-0165</t>
    <phoneticPr fontId="1" type="noConversion"/>
  </si>
  <si>
    <t>박용훈 4289-0993-1397-1018</t>
    <phoneticPr fontId="1" type="noConversion"/>
  </si>
  <si>
    <t>김종현 4289-0993-1326-9215</t>
    <phoneticPr fontId="1" type="noConversion"/>
  </si>
  <si>
    <t>김수연 4289-0993-1364-0670</t>
    <phoneticPr fontId="1" type="noConversion"/>
  </si>
  <si>
    <t>정내영 4289-0993-1325-2039</t>
    <phoneticPr fontId="1" type="noConversion"/>
  </si>
  <si>
    <t>9월</t>
  </si>
  <si>
    <t>오승민 4289-0993-1444-3363</t>
    <phoneticPr fontId="1" type="noConversion"/>
  </si>
  <si>
    <t>신영삼 9450-8190-0492-3107</t>
    <phoneticPr fontId="1" type="noConversion"/>
  </si>
  <si>
    <t>이규인 4289-0993-1467-6731</t>
    <phoneticPr fontId="1" type="noConversion"/>
  </si>
  <si>
    <t>유별이 4289-0993-1444-0096</t>
    <phoneticPr fontId="1" type="noConversion"/>
  </si>
  <si>
    <t>신호식 4289-0993-1493-2878</t>
    <phoneticPr fontId="1" type="noConversion"/>
  </si>
  <si>
    <t>유영우 4289-0993-1413-4814</t>
    <phoneticPr fontId="1" type="noConversion"/>
  </si>
  <si>
    <t>권영욱 4289-0993-1407-6551</t>
    <phoneticPr fontId="1" type="noConversion"/>
  </si>
  <si>
    <t>박성배 4140-2546-6876-8936</t>
    <phoneticPr fontId="1" type="noConversion"/>
  </si>
  <si>
    <t>박상엽 5589-2098-9624-1424</t>
    <phoneticPr fontId="1" type="noConversion"/>
  </si>
  <si>
    <t>P5</t>
    <phoneticPr fontId="1" type="noConversion"/>
  </si>
  <si>
    <t>박규남</t>
    <phoneticPr fontId="1" type="noConversion"/>
  </si>
  <si>
    <t>사업D본부</t>
    <phoneticPr fontId="1" type="noConversion"/>
  </si>
  <si>
    <t>탕정역</t>
    <phoneticPr fontId="1" type="noConversion"/>
  </si>
  <si>
    <t>아산역</t>
    <phoneticPr fontId="1" type="noConversion"/>
  </si>
  <si>
    <t>자책</t>
    <phoneticPr fontId="1" type="noConversion"/>
  </si>
  <si>
    <t>타임게이트 미팅 후 귀가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</si>
</sst>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_ &quot;₩&quot;* #,##0_ ;_ &quot;₩&quot;* \-#,##0_ ;_ &quot;₩&quot;* &quot;-&quot;_ ;_ @_ "/>
    <numFmt numFmtId="177" formatCode="_-* #,##0_-;&quot;₩&quot;&quot;₩&quot;&quot;₩&quot;&quot;₩&quot;&quot;₩&quot;&quot;₩&quot;&quot;₩&quot;\-* #,##0_-;_-* &quot;-&quot;_-;_-@_-"/>
    <numFmt numFmtId="178" formatCode="_ &quot;₩&quot;* #,##0.00_ ;_ &quot;₩&quot;* \-#,##0.00_ ;_ &quot;₩&quot;* &quot;-&quot;??_ ;_ @_ "/>
    <numFmt numFmtId="179" formatCode="_-&quot;₩&quot;* #,##0.00_-;&quot;₩&quot;&quot;₩&quot;&quot;₩&quot;&quot;₩&quot;&quot;₩&quot;&quot;₩&quot;&quot;₩&quot;\-&quot;₩&quot;* #,##0.00_-;_-&quot;₩&quot;* &quot;-&quot;??_-;_-@_-"/>
    <numFmt numFmtId="180" formatCode="_ * #,##0_ ;_ * \-#,##0_ ;_ * &quot;-&quot;_ ;_ @_ 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0_ "/>
    <numFmt numFmtId="185" formatCode="000000\-0000000"/>
    <numFmt numFmtId="186" formatCode="#&quot;km&quot;"/>
  </numFmts>
  <fonts count="50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2"/>
      <color rgb="FF000000"/>
      <name val="¹ÙÅÁÃ¼"/>
      <family val="3"/>
      <charset val="129"/>
    </font>
    <font>
      <sz val="10"/>
      <color rgb="FF000000"/>
      <name val="MS Sans Serif"/>
    </font>
    <font>
      <sz val="10"/>
      <color rgb="FF000000"/>
      <name val="Arial"/>
      <family val="2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u/>
      <sz val="10"/>
      <color rgb="FFFF00FF"/>
      <name val="MS Sans Serif"/>
    </font>
    <font>
      <sz val="12"/>
      <color rgb="FF000000"/>
      <name val="뼻뮝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rgb="FF000000"/>
      <name val="돋움체"/>
      <family val="3"/>
      <charset val="129"/>
    </font>
    <font>
      <b/>
      <sz val="12"/>
      <color rgb="FF000000"/>
      <name val="돋움체"/>
      <family val="3"/>
      <charset val="129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i/>
      <sz val="12"/>
      <color rgb="FF000000"/>
      <name val="맑은 고딕"/>
      <family val="3"/>
      <charset val="129"/>
      <scheme val="major"/>
    </font>
    <font>
      <sz val="11"/>
      <color rgb="FF000000"/>
      <name val="굴림체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u/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b/>
      <sz val="2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돋움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  <font>
      <sz val="11"/>
      <color rgb="FFFF0000"/>
      <name val="돋음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74">
    <xf numFmtId="0" fontId="0" fillId="0" borderId="0">
      <alignment vertical="center"/>
    </xf>
    <xf numFmtId="0" fontId="2" fillId="0" borderId="0"/>
    <xf numFmtId="0" fontId="3" fillId="0" borderId="0"/>
    <xf numFmtId="0" fontId="3" fillId="0" borderId="0"/>
    <xf numFmtId="176" fontId="4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4" fillId="0" borderId="0"/>
    <xf numFmtId="0" fontId="6" fillId="0" borderId="0"/>
    <xf numFmtId="0" fontId="7" fillId="0" borderId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" fillId="0" borderId="0"/>
    <xf numFmtId="0" fontId="3" fillId="0" borderId="0"/>
    <xf numFmtId="38" fontId="8" fillId="2" borderId="0" applyNumberFormat="0" applyBorder="0" applyAlignment="0" applyProtection="0"/>
    <xf numFmtId="0" fontId="9" fillId="0" borderId="0">
      <alignment horizontal="left"/>
    </xf>
    <xf numFmtId="0" fontId="10" fillId="0" borderId="2" applyNumberFormat="0" applyAlignment="0" applyProtection="0">
      <alignment horizontal="left" vertical="center"/>
    </xf>
    <xf numFmtId="0" fontId="10" fillId="0" borderId="3">
      <alignment horizontal="left" vertical="center"/>
    </xf>
    <xf numFmtId="10" fontId="8" fillId="2" borderId="1" applyNumberFormat="0" applyBorder="0" applyAlignment="0" applyProtection="0"/>
    <xf numFmtId="0" fontId="11" fillId="0" borderId="4"/>
    <xf numFmtId="0" fontId="3" fillId="0" borderId="0"/>
    <xf numFmtId="0" fontId="3" fillId="0" borderId="0"/>
    <xf numFmtId="0" fontId="6" fillId="0" borderId="0"/>
    <xf numFmtId="10" fontId="6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3" fillId="0" borderId="0"/>
    <xf numFmtId="18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5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16" fillId="0" borderId="0"/>
    <xf numFmtId="42" fontId="1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>
      <alignment vertical="top"/>
      <protection locked="0"/>
    </xf>
  </cellStyleXfs>
  <cellXfs count="274">
    <xf numFmtId="0" fontId="0" fillId="0" borderId="0" xfId="0">
      <alignment vertical="center"/>
    </xf>
    <xf numFmtId="0" fontId="0" fillId="0" borderId="0" xfId="0" applyProtection="1">
      <alignment vertical="center"/>
    </xf>
    <xf numFmtId="0" fontId="32" fillId="0" borderId="0" xfId="0" applyFont="1" applyAlignment="1" applyProtection="1">
      <alignment horizontal="right" vertical="center"/>
    </xf>
    <xf numFmtId="0" fontId="23" fillId="0" borderId="0" xfId="0" applyFont="1" applyBorder="1" applyAlignment="1" applyProtection="1">
      <alignment horizontal="center" vertical="center"/>
    </xf>
    <xf numFmtId="0" fontId="14" fillId="0" borderId="0" xfId="0" applyFont="1" applyProtection="1">
      <alignment vertical="center"/>
    </xf>
    <xf numFmtId="0" fontId="22" fillId="0" borderId="0" xfId="69" applyFont="1" applyBorder="1" applyProtection="1">
      <alignment vertical="center"/>
    </xf>
    <xf numFmtId="0" fontId="21" fillId="0" borderId="0" xfId="69" applyFont="1" applyBorder="1" applyAlignment="1" applyProtection="1">
      <alignment vertical="center"/>
    </xf>
    <xf numFmtId="0" fontId="21" fillId="0" borderId="0" xfId="69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/>
    </xf>
    <xf numFmtId="0" fontId="21" fillId="0" borderId="0" xfId="69" applyFont="1" applyBorder="1" applyProtection="1">
      <alignment vertical="center"/>
    </xf>
    <xf numFmtId="185" fontId="21" fillId="0" borderId="0" xfId="69" applyNumberFormat="1" applyFont="1" applyBorder="1" applyAlignment="1" applyProtection="1">
      <alignment vertical="center"/>
    </xf>
    <xf numFmtId="185" fontId="21" fillId="0" borderId="0" xfId="69" applyNumberFormat="1" applyFont="1" applyBorder="1" applyAlignment="1" applyProtection="1">
      <alignment horizontal="center" vertical="center"/>
    </xf>
    <xf numFmtId="14" fontId="21" fillId="0" borderId="0" xfId="69" applyNumberFormat="1" applyFont="1" applyBorder="1" applyAlignment="1" applyProtection="1">
      <alignment vertical="center"/>
    </xf>
    <xf numFmtId="0" fontId="26" fillId="0" borderId="16" xfId="0" applyFont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0" fontId="26" fillId="0" borderId="19" xfId="0" applyFont="1" applyBorder="1" applyAlignment="1" applyProtection="1">
      <alignment horizontal="center" vertical="center"/>
    </xf>
    <xf numFmtId="0" fontId="26" fillId="0" borderId="20" xfId="0" applyFont="1" applyBorder="1" applyAlignment="1" applyProtection="1">
      <alignment horizontal="center" vertical="center"/>
    </xf>
    <xf numFmtId="0" fontId="18" fillId="0" borderId="14" xfId="0" applyFont="1" applyBorder="1" applyAlignment="1" applyProtection="1">
      <alignment vertical="center"/>
    </xf>
    <xf numFmtId="0" fontId="18" fillId="0" borderId="14" xfId="0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 vertical="center" wrapText="1"/>
    </xf>
    <xf numFmtId="0" fontId="18" fillId="0" borderId="14" xfId="0" applyFont="1" applyBorder="1" applyAlignment="1" applyProtection="1">
      <alignment vertical="center" wrapText="1"/>
    </xf>
    <xf numFmtId="0" fontId="0" fillId="0" borderId="0" xfId="0" applyBorder="1" applyAlignment="1" applyProtection="1">
      <alignment vertical="center" wrapText="1"/>
    </xf>
    <xf numFmtId="14" fontId="21" fillId="0" borderId="0" xfId="69" applyNumberFormat="1" applyFont="1" applyFill="1" applyBorder="1" applyAlignment="1" applyProtection="1">
      <alignment horizontal="center" vertical="center" wrapText="1"/>
    </xf>
    <xf numFmtId="0" fontId="22" fillId="0" borderId="0" xfId="69" applyFont="1" applyFill="1" applyBorder="1" applyAlignment="1" applyProtection="1">
      <alignment horizontal="left" vertical="center" wrapText="1"/>
    </xf>
    <xf numFmtId="0" fontId="21" fillId="0" borderId="0" xfId="69" applyFont="1" applyFill="1" applyBorder="1" applyAlignment="1" applyProtection="1">
      <alignment vertical="center" wrapText="1"/>
    </xf>
    <xf numFmtId="0" fontId="29" fillId="0" borderId="0" xfId="0" applyFont="1" applyProtection="1">
      <alignment vertical="center"/>
    </xf>
    <xf numFmtId="0" fontId="14" fillId="0" borderId="0" xfId="0" applyFont="1" applyBorder="1" applyProtection="1">
      <alignment vertical="center"/>
    </xf>
    <xf numFmtId="0" fontId="14" fillId="0" borderId="0" xfId="0" applyFont="1" applyFill="1" applyBorder="1" applyProtection="1">
      <alignment vertical="center"/>
    </xf>
    <xf numFmtId="0" fontId="14" fillId="0" borderId="0" xfId="0" applyFont="1" applyBorder="1" applyAlignment="1" applyProtection="1">
      <alignment horizontal="center" vertical="center" wrapText="1"/>
    </xf>
    <xf numFmtId="14" fontId="22" fillId="0" borderId="0" xfId="69" applyNumberFormat="1" applyFont="1" applyFill="1" applyBorder="1" applyAlignment="1" applyProtection="1">
      <alignment horizontal="center" vertical="center" wrapText="1"/>
    </xf>
    <xf numFmtId="0" fontId="22" fillId="0" borderId="0" xfId="69" applyFont="1" applyFill="1" applyBorder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19" fillId="0" borderId="0" xfId="1" applyFont="1" applyBorder="1" applyAlignment="1" applyProtection="1">
      <alignment horizontal="right" wrapText="1"/>
    </xf>
    <xf numFmtId="0" fontId="19" fillId="0" borderId="0" xfId="1" applyFont="1" applyBorder="1" applyAlignment="1" applyProtection="1">
      <alignment horizontal="right"/>
    </xf>
    <xf numFmtId="186" fontId="22" fillId="0" borderId="57" xfId="69" applyNumberFormat="1" applyFont="1" applyFill="1" applyBorder="1" applyAlignment="1" applyProtection="1">
      <alignment horizontal="center" vertical="center" wrapText="1"/>
      <protection locked="0"/>
    </xf>
    <xf numFmtId="42" fontId="22" fillId="0" borderId="57" xfId="70" applyNumberFormat="1" applyFont="1" applyFill="1" applyBorder="1" applyAlignment="1" applyProtection="1">
      <alignment horizontal="center" vertical="center" wrapText="1"/>
      <protection locked="0"/>
    </xf>
    <xf numFmtId="186" fontId="22" fillId="0" borderId="30" xfId="69" applyNumberFormat="1" applyFont="1" applyFill="1" applyBorder="1" applyAlignment="1" applyProtection="1">
      <alignment horizontal="center" vertical="center" wrapText="1"/>
      <protection locked="0"/>
    </xf>
    <xf numFmtId="42" fontId="22" fillId="0" borderId="30" xfId="70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Border="1" applyAlignment="1" applyProtection="1">
      <alignment horizontal="center" vertical="center" wrapText="1"/>
    </xf>
    <xf numFmtId="0" fontId="23" fillId="0" borderId="0" xfId="0" applyFont="1" applyBorder="1" applyAlignment="1" applyProtection="1">
      <alignment horizontal="center" vertical="center" wrapText="1"/>
    </xf>
    <xf numFmtId="0" fontId="22" fillId="0" borderId="0" xfId="69" applyFont="1" applyBorder="1" applyAlignment="1" applyProtection="1">
      <alignment vertical="center" wrapText="1"/>
    </xf>
    <xf numFmtId="0" fontId="21" fillId="0" borderId="0" xfId="69" applyFont="1" applyBorder="1" applyAlignment="1" applyProtection="1">
      <alignment vertical="center" wrapText="1"/>
    </xf>
    <xf numFmtId="0" fontId="21" fillId="0" borderId="0" xfId="69" applyFont="1" applyBorder="1" applyAlignment="1" applyProtection="1">
      <alignment horizontal="center" vertical="center" wrapText="1"/>
    </xf>
    <xf numFmtId="0" fontId="27" fillId="0" borderId="0" xfId="69" applyFont="1" applyBorder="1" applyAlignment="1" applyProtection="1">
      <alignment vertical="center"/>
    </xf>
    <xf numFmtId="0" fontId="27" fillId="0" borderId="0" xfId="69" applyFont="1" applyBorder="1" applyAlignment="1" applyProtection="1">
      <alignment vertical="center" wrapText="1"/>
    </xf>
    <xf numFmtId="185" fontId="21" fillId="0" borderId="0" xfId="69" applyNumberFormat="1" applyFont="1" applyBorder="1" applyAlignment="1" applyProtection="1">
      <alignment vertical="center" wrapText="1"/>
    </xf>
    <xf numFmtId="185" fontId="21" fillId="0" borderId="0" xfId="69" applyNumberFormat="1" applyFont="1" applyBorder="1" applyAlignment="1" applyProtection="1">
      <alignment horizontal="center" vertical="center" wrapText="1"/>
    </xf>
    <xf numFmtId="14" fontId="21" fillId="0" borderId="0" xfId="69" applyNumberFormat="1" applyFont="1" applyBorder="1" applyAlignment="1" applyProtection="1">
      <alignment vertical="center" wrapText="1"/>
    </xf>
    <xf numFmtId="0" fontId="26" fillId="0" borderId="0" xfId="0" applyFont="1" applyBorder="1" applyAlignment="1" applyProtection="1">
      <alignment vertical="center"/>
    </xf>
    <xf numFmtId="0" fontId="26" fillId="0" borderId="0" xfId="0" applyFont="1" applyBorder="1" applyAlignment="1" applyProtection="1">
      <alignment vertical="center" wrapText="1"/>
    </xf>
    <xf numFmtId="0" fontId="18" fillId="0" borderId="0" xfId="0" applyFont="1" applyBorder="1" applyAlignment="1" applyProtection="1">
      <alignment vertical="center" wrapText="1"/>
    </xf>
    <xf numFmtId="0" fontId="18" fillId="0" borderId="0" xfId="0" applyFont="1" applyBorder="1" applyAlignment="1" applyProtection="1">
      <alignment horizontal="center" vertical="center" wrapText="1"/>
    </xf>
    <xf numFmtId="0" fontId="18" fillId="0" borderId="13" xfId="0" applyFont="1" applyBorder="1" applyAlignment="1" applyProtection="1">
      <alignment vertical="center" wrapText="1"/>
    </xf>
    <xf numFmtId="0" fontId="26" fillId="0" borderId="3" xfId="0" applyFont="1" applyBorder="1" applyAlignment="1" applyProtection="1">
      <alignment vertical="center"/>
    </xf>
    <xf numFmtId="42" fontId="21" fillId="0" borderId="0" xfId="69" applyNumberFormat="1" applyFont="1" applyFill="1" applyBorder="1" applyAlignment="1" applyProtection="1">
      <alignment vertical="center" wrapText="1"/>
    </xf>
    <xf numFmtId="42" fontId="18" fillId="0" borderId="0" xfId="0" applyNumberFormat="1" applyFont="1" applyBorder="1" applyAlignment="1" applyProtection="1">
      <alignment vertical="center" wrapText="1"/>
    </xf>
    <xf numFmtId="186" fontId="21" fillId="0" borderId="0" xfId="69" applyNumberFormat="1" applyFont="1" applyFill="1" applyBorder="1" applyAlignment="1" applyProtection="1">
      <alignment horizontal="center" vertical="center" wrapText="1"/>
    </xf>
    <xf numFmtId="0" fontId="26" fillId="0" borderId="16" xfId="0" applyFont="1" applyBorder="1" applyAlignment="1" applyProtection="1">
      <alignment horizontal="center" vertical="center" wrapText="1"/>
    </xf>
    <xf numFmtId="0" fontId="26" fillId="0" borderId="19" xfId="0" applyFont="1" applyBorder="1" applyAlignment="1" applyProtection="1">
      <alignment horizontal="center" vertical="center" wrapText="1"/>
    </xf>
    <xf numFmtId="0" fontId="26" fillId="0" borderId="20" xfId="0" applyFont="1" applyBorder="1" applyAlignment="1" applyProtection="1">
      <alignment horizontal="center" vertical="center" wrapText="1"/>
    </xf>
    <xf numFmtId="0" fontId="26" fillId="0" borderId="54" xfId="0" applyFont="1" applyBorder="1" applyAlignment="1" applyProtection="1">
      <alignment horizontal="center" vertical="center" wrapText="1"/>
    </xf>
    <xf numFmtId="0" fontId="18" fillId="0" borderId="14" xfId="0" applyFont="1" applyBorder="1" applyAlignment="1" applyProtection="1">
      <alignment horizontal="center" vertical="center" wrapText="1"/>
    </xf>
    <xf numFmtId="0" fontId="30" fillId="0" borderId="0" xfId="0" applyFont="1" applyProtection="1">
      <alignment vertical="center"/>
    </xf>
    <xf numFmtId="0" fontId="0" fillId="0" borderId="62" xfId="0" applyBorder="1" applyProtection="1">
      <alignment vertical="center"/>
    </xf>
    <xf numFmtId="0" fontId="32" fillId="0" borderId="62" xfId="0" applyFont="1" applyBorder="1" applyAlignment="1" applyProtection="1">
      <alignment horizontal="right" vertical="center"/>
    </xf>
    <xf numFmtId="0" fontId="14" fillId="0" borderId="63" xfId="0" applyFont="1" applyBorder="1" applyAlignment="1" applyProtection="1">
      <alignment horizontal="center" vertical="center" wrapText="1"/>
    </xf>
    <xf numFmtId="14" fontId="22" fillId="0" borderId="63" xfId="69" applyNumberFormat="1" applyFont="1" applyFill="1" applyBorder="1" applyAlignment="1" applyProtection="1">
      <alignment horizontal="center" vertical="center" wrapText="1"/>
    </xf>
    <xf numFmtId="0" fontId="22" fillId="0" borderId="63" xfId="69" applyFont="1" applyFill="1" applyBorder="1" applyAlignment="1" applyProtection="1">
      <alignment horizontal="left" vertical="center" wrapText="1"/>
    </xf>
    <xf numFmtId="0" fontId="22" fillId="0" borderId="63" xfId="69" applyFont="1" applyFill="1" applyBorder="1" applyAlignment="1" applyProtection="1">
      <alignment vertical="center" wrapText="1"/>
    </xf>
    <xf numFmtId="0" fontId="18" fillId="0" borderId="62" xfId="0" applyFont="1" applyBorder="1" applyAlignment="1" applyProtection="1">
      <alignment horizontal="center" vertical="center" wrapText="1"/>
    </xf>
    <xf numFmtId="42" fontId="18" fillId="0" borderId="62" xfId="0" applyNumberFormat="1" applyFont="1" applyBorder="1" applyAlignment="1" applyProtection="1">
      <alignment vertical="center" wrapText="1"/>
    </xf>
    <xf numFmtId="14" fontId="21" fillId="0" borderId="62" xfId="69" applyNumberFormat="1" applyFont="1" applyFill="1" applyBorder="1" applyAlignment="1" applyProtection="1">
      <alignment horizontal="center" vertical="center" wrapText="1"/>
    </xf>
    <xf numFmtId="186" fontId="21" fillId="0" borderId="62" xfId="69" applyNumberFormat="1" applyFont="1" applyFill="1" applyBorder="1" applyAlignment="1" applyProtection="1">
      <alignment horizontal="center" vertical="center" wrapText="1"/>
    </xf>
    <xf numFmtId="42" fontId="21" fillId="0" borderId="62" xfId="69" applyNumberFormat="1" applyFont="1" applyFill="1" applyBorder="1" applyAlignment="1" applyProtection="1">
      <alignment vertical="center" wrapText="1"/>
    </xf>
    <xf numFmtId="0" fontId="21" fillId="0" borderId="62" xfId="69" applyFont="1" applyFill="1" applyBorder="1" applyAlignment="1" applyProtection="1">
      <alignment vertical="center" wrapText="1"/>
    </xf>
    <xf numFmtId="0" fontId="0" fillId="0" borderId="62" xfId="0" applyBorder="1" applyAlignment="1" applyProtection="1">
      <alignment vertical="center" wrapText="1"/>
    </xf>
    <xf numFmtId="0" fontId="0" fillId="0" borderId="0" xfId="0" applyBorder="1" applyProtection="1">
      <alignment vertical="center"/>
    </xf>
    <xf numFmtId="0" fontId="22" fillId="0" borderId="0" xfId="69" applyFont="1" applyFill="1" applyBorder="1" applyAlignment="1" applyProtection="1">
      <alignment horizontal="center" vertical="center" wrapText="1"/>
    </xf>
    <xf numFmtId="41" fontId="26" fillId="0" borderId="8" xfId="70" applyFont="1" applyBorder="1" applyAlignment="1" applyProtection="1">
      <alignment vertical="center" wrapText="1"/>
    </xf>
    <xf numFmtId="42" fontId="22" fillId="0" borderId="57" xfId="69" applyNumberFormat="1" applyFont="1" applyFill="1" applyBorder="1" applyAlignment="1" applyProtection="1">
      <alignment horizontal="center" vertical="center" wrapText="1"/>
      <protection locked="0"/>
    </xf>
    <xf numFmtId="42" fontId="22" fillId="0" borderId="30" xfId="69" applyNumberFormat="1" applyFont="1" applyFill="1" applyBorder="1" applyAlignment="1" applyProtection="1">
      <alignment horizontal="center" vertical="center" wrapText="1"/>
      <protection locked="0"/>
    </xf>
    <xf numFmtId="42" fontId="22" fillId="0" borderId="60" xfId="70" applyNumberFormat="1" applyFont="1" applyFill="1" applyBorder="1" applyAlignment="1" applyProtection="1">
      <alignment horizontal="center" vertical="center" wrapText="1"/>
      <protection locked="0"/>
    </xf>
    <xf numFmtId="42" fontId="21" fillId="0" borderId="0" xfId="69" applyNumberFormat="1" applyFont="1" applyFill="1" applyBorder="1" applyAlignment="1" applyProtection="1">
      <alignment horizontal="center" vertical="center" wrapText="1"/>
    </xf>
    <xf numFmtId="0" fontId="21" fillId="0" borderId="0" xfId="69" applyFont="1" applyFill="1" applyBorder="1" applyAlignment="1" applyProtection="1">
      <alignment horizontal="center" vertical="center" wrapText="1"/>
    </xf>
    <xf numFmtId="42" fontId="18" fillId="0" borderId="0" xfId="0" applyNumberFormat="1" applyFont="1" applyBorder="1" applyAlignment="1" applyProtection="1">
      <alignment horizontal="center" vertical="center" wrapText="1"/>
    </xf>
    <xf numFmtId="41" fontId="26" fillId="0" borderId="8" xfId="70" applyFont="1" applyBorder="1" applyAlignment="1" applyProtection="1">
      <alignment horizontal="center" vertical="center" wrapText="1"/>
    </xf>
    <xf numFmtId="0" fontId="14" fillId="0" borderId="57" xfId="0" applyNumberFormat="1" applyFont="1" applyBorder="1" applyAlignment="1" applyProtection="1">
      <alignment horizontal="center" vertical="center" wrapText="1"/>
      <protection locked="0"/>
    </xf>
    <xf numFmtId="0" fontId="14" fillId="0" borderId="30" xfId="0" applyNumberFormat="1" applyFont="1" applyBorder="1" applyAlignment="1" applyProtection="1">
      <alignment horizontal="center" vertical="center" wrapText="1"/>
      <protection locked="0"/>
    </xf>
    <xf numFmtId="0" fontId="14" fillId="0" borderId="60" xfId="0" applyNumberFormat="1" applyFont="1" applyBorder="1" applyAlignment="1" applyProtection="1">
      <alignment horizontal="center" vertical="center" wrapText="1"/>
      <protection locked="0"/>
    </xf>
    <xf numFmtId="0" fontId="14" fillId="0" borderId="53" xfId="0" applyNumberFormat="1" applyFont="1" applyBorder="1" applyAlignment="1" applyProtection="1">
      <alignment horizontal="center" vertical="center" wrapText="1"/>
      <protection locked="0"/>
    </xf>
    <xf numFmtId="0" fontId="22" fillId="0" borderId="57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30" xfId="69" applyNumberFormat="1" applyFont="1" applyFill="1" applyBorder="1" applyAlignment="1" applyProtection="1">
      <alignment horizontal="center" vertical="center" wrapText="1"/>
      <protection locked="0"/>
    </xf>
    <xf numFmtId="0" fontId="14" fillId="0" borderId="57" xfId="0" applyNumberFormat="1" applyFont="1" applyBorder="1" applyAlignment="1" applyProtection="1">
      <alignment horizontal="center" vertical="center" wrapText="1" shrinkToFi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1" fillId="0" borderId="1" xfId="69" applyFont="1" applyFill="1" applyBorder="1" applyAlignment="1" applyProtection="1">
      <alignment horizontal="center" vertical="center" wrapText="1"/>
    </xf>
    <xf numFmtId="14" fontId="21" fillId="0" borderId="1" xfId="69" applyNumberFormat="1" applyFont="1" applyFill="1" applyBorder="1" applyAlignment="1" applyProtection="1">
      <alignment horizontal="center" vertical="center" wrapText="1"/>
    </xf>
    <xf numFmtId="186" fontId="22" fillId="0" borderId="60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60" xfId="69" applyNumberFormat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</xf>
    <xf numFmtId="0" fontId="34" fillId="0" borderId="0" xfId="1" applyFont="1" applyBorder="1" applyAlignment="1" applyProtection="1">
      <alignment horizontal="right" wrapText="1"/>
    </xf>
    <xf numFmtId="0" fontId="35" fillId="0" borderId="0" xfId="0" applyFont="1" applyProtection="1">
      <alignment vertical="center"/>
    </xf>
    <xf numFmtId="0" fontId="37" fillId="0" borderId="0" xfId="1" applyFont="1" applyBorder="1" applyAlignment="1" applyProtection="1">
      <alignment horizontal="right" wrapText="1"/>
    </xf>
    <xf numFmtId="0" fontId="35" fillId="0" borderId="0" xfId="0" applyFont="1" applyBorder="1" applyProtection="1">
      <alignment vertical="center"/>
    </xf>
    <xf numFmtId="0" fontId="35" fillId="0" borderId="0" xfId="0" applyFont="1" applyAlignment="1" applyProtection="1">
      <alignment vertical="center" wrapText="1"/>
    </xf>
    <xf numFmtId="42" fontId="18" fillId="0" borderId="27" xfId="0" applyNumberFormat="1" applyFont="1" applyBorder="1" applyAlignment="1" applyProtection="1">
      <alignment horizontal="center" vertical="center" wrapText="1"/>
    </xf>
    <xf numFmtId="0" fontId="33" fillId="4" borderId="0" xfId="0" applyFont="1" applyFill="1" applyProtection="1">
      <alignment vertical="center"/>
    </xf>
    <xf numFmtId="0" fontId="22" fillId="0" borderId="57" xfId="69" applyNumberFormat="1" applyFont="1" applyFill="1" applyBorder="1" applyAlignment="1" applyProtection="1">
      <alignment horizontal="center" vertical="center" wrapText="1"/>
      <protection locked="0"/>
    </xf>
    <xf numFmtId="0" fontId="14" fillId="0" borderId="6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5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53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57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33" xfId="69" applyNumberFormat="1" applyFont="1" applyFill="1" applyBorder="1" applyAlignment="1" applyProtection="1">
      <alignment horizontal="center" vertical="center" wrapText="1"/>
      <protection locked="0"/>
    </xf>
    <xf numFmtId="14" fontId="21" fillId="0" borderId="5" xfId="69" applyNumberFormat="1" applyFont="1" applyFill="1" applyBorder="1" applyAlignment="1" applyProtection="1">
      <alignment horizontal="center" vertical="center" wrapText="1"/>
    </xf>
    <xf numFmtId="41" fontId="18" fillId="0" borderId="13" xfId="70" applyFont="1" applyBorder="1" applyAlignment="1" applyProtection="1">
      <alignment vertical="center" wrapText="1"/>
    </xf>
    <xf numFmtId="41" fontId="18" fillId="0" borderId="0" xfId="70" applyFont="1" applyBorder="1" applyAlignment="1" applyProtection="1">
      <alignment vertical="center" wrapText="1"/>
    </xf>
    <xf numFmtId="0" fontId="42" fillId="0" borderId="0" xfId="0" applyFont="1" applyAlignment="1" applyProtection="1">
      <alignment vertical="center"/>
    </xf>
    <xf numFmtId="0" fontId="42" fillId="0" borderId="0" xfId="0" applyFont="1" applyBorder="1" applyAlignment="1" applyProtection="1">
      <alignment vertical="center" wrapText="1"/>
    </xf>
    <xf numFmtId="0" fontId="28" fillId="0" borderId="0" xfId="0" applyFont="1" applyBorder="1" applyAlignment="1" applyProtection="1">
      <alignment horizontal="center" vertical="center" wrapText="1"/>
    </xf>
    <xf numFmtId="0" fontId="28" fillId="0" borderId="0" xfId="0" applyFont="1" applyBorder="1" applyAlignment="1" applyProtection="1">
      <alignment horizontal="center" vertical="center" wrapText="1"/>
    </xf>
    <xf numFmtId="14" fontId="44" fillId="0" borderId="1" xfId="69" applyNumberFormat="1" applyFont="1" applyFill="1" applyBorder="1" applyAlignment="1" applyProtection="1">
      <alignment horizontal="center" vertical="center" wrapText="1"/>
    </xf>
    <xf numFmtId="0" fontId="33" fillId="0" borderId="0" xfId="0" applyFont="1" applyProtection="1">
      <alignment vertical="center"/>
    </xf>
    <xf numFmtId="0" fontId="33" fillId="0" borderId="0" xfId="0" applyFont="1" applyAlignment="1" applyProtection="1">
      <alignment horizontal="center" vertical="center"/>
    </xf>
    <xf numFmtId="0" fontId="30" fillId="0" borderId="0" xfId="0" applyFont="1" applyAlignment="1" applyProtection="1">
      <alignment vertical="center"/>
    </xf>
    <xf numFmtId="0" fontId="33" fillId="0" borderId="0" xfId="0" applyFont="1" applyBorder="1" applyProtection="1">
      <alignment vertical="center"/>
    </xf>
    <xf numFmtId="0" fontId="26" fillId="0" borderId="1" xfId="0" applyFont="1" applyBorder="1" applyAlignment="1" applyProtection="1">
      <alignment horizontal="center" vertical="center" wrapText="1"/>
    </xf>
    <xf numFmtId="0" fontId="22" fillId="0" borderId="66" xfId="69" applyNumberFormat="1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Border="1" applyProtection="1">
      <alignment vertical="center"/>
    </xf>
    <xf numFmtId="0" fontId="36" fillId="0" borderId="0" xfId="0" applyFont="1" applyAlignment="1" applyProtection="1">
      <alignment vertical="center" wrapText="1"/>
    </xf>
    <xf numFmtId="0" fontId="36" fillId="0" borderId="0" xfId="0" applyFont="1" applyBorder="1" applyAlignment="1" applyProtection="1">
      <alignment vertical="center" wrapText="1"/>
    </xf>
    <xf numFmtId="0" fontId="35" fillId="0" borderId="0" xfId="0" applyFont="1" applyBorder="1" applyAlignment="1" applyProtection="1">
      <alignment vertical="center" wrapText="1"/>
    </xf>
    <xf numFmtId="0" fontId="30" fillId="0" borderId="62" xfId="0" applyFont="1" applyBorder="1" applyProtection="1">
      <alignment vertical="center"/>
    </xf>
    <xf numFmtId="0" fontId="30" fillId="0" borderId="0" xfId="0" applyFont="1" applyAlignment="1" applyProtection="1">
      <alignment vertical="center" wrapText="1"/>
    </xf>
    <xf numFmtId="0" fontId="47" fillId="0" borderId="0" xfId="69" applyFont="1" applyBorder="1" applyAlignment="1" applyProtection="1">
      <alignment vertical="center"/>
    </xf>
    <xf numFmtId="0" fontId="46" fillId="0" borderId="0" xfId="0" applyFont="1" applyBorder="1" applyAlignment="1" applyProtection="1">
      <alignment vertical="center"/>
    </xf>
    <xf numFmtId="0" fontId="46" fillId="0" borderId="3" xfId="0" applyFont="1" applyBorder="1" applyAlignment="1" applyProtection="1">
      <alignment vertical="center"/>
    </xf>
    <xf numFmtId="0" fontId="48" fillId="0" borderId="0" xfId="0" applyFont="1" applyBorder="1" applyAlignment="1" applyProtection="1">
      <alignment horizontal="center" vertical="center" wrapText="1"/>
    </xf>
    <xf numFmtId="0" fontId="30" fillId="0" borderId="62" xfId="0" applyFont="1" applyBorder="1" applyAlignment="1" applyProtection="1">
      <alignment vertical="center" wrapText="1"/>
    </xf>
    <xf numFmtId="0" fontId="36" fillId="0" borderId="0" xfId="0" applyFont="1" applyProtection="1">
      <alignment vertical="center"/>
    </xf>
    <xf numFmtId="0" fontId="36" fillId="3" borderId="0" xfId="0" applyFont="1" applyFill="1">
      <alignment vertical="center"/>
    </xf>
    <xf numFmtId="0" fontId="49" fillId="0" borderId="0" xfId="0" applyFont="1" applyFill="1" applyBorder="1" applyAlignment="1">
      <alignment horizontal="center" vertical="center"/>
    </xf>
    <xf numFmtId="0" fontId="33" fillId="0" borderId="0" xfId="0" applyFont="1" applyFill="1" applyProtection="1">
      <alignment vertical="center"/>
    </xf>
    <xf numFmtId="0" fontId="36" fillId="0" borderId="0" xfId="0" applyFont="1" applyFill="1" applyProtection="1">
      <alignment vertical="center"/>
    </xf>
    <xf numFmtId="0" fontId="35" fillId="0" borderId="0" xfId="0" applyFont="1" applyFill="1" applyProtection="1">
      <alignment vertical="center"/>
    </xf>
    <xf numFmtId="0" fontId="35" fillId="0" borderId="0" xfId="0" applyFont="1" applyFill="1" applyBorder="1" applyAlignment="1" applyProtection="1">
      <alignment vertical="center" wrapText="1"/>
    </xf>
    <xf numFmtId="0" fontId="37" fillId="0" borderId="0" xfId="1" applyFont="1" applyFill="1" applyBorder="1" applyAlignment="1" applyProtection="1">
      <alignment horizontal="right" wrapText="1"/>
    </xf>
    <xf numFmtId="0" fontId="35" fillId="0" borderId="0" xfId="0" applyFont="1" applyFill="1" applyBorder="1" applyProtection="1">
      <alignment vertical="center"/>
    </xf>
    <xf numFmtId="0" fontId="36" fillId="0" borderId="0" xfId="0" applyFont="1" applyFill="1">
      <alignment vertical="center"/>
    </xf>
    <xf numFmtId="0" fontId="36" fillId="0" borderId="0" xfId="0" applyFont="1" applyFill="1" applyBorder="1" applyAlignment="1" applyProtection="1">
      <alignment vertical="center" wrapText="1"/>
    </xf>
    <xf numFmtId="0" fontId="22" fillId="0" borderId="58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74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59" xfId="69" applyNumberFormat="1" applyFont="1" applyFill="1" applyBorder="1" applyAlignment="1" applyProtection="1">
      <alignment horizontal="center" vertical="center" wrapText="1"/>
      <protection locked="0"/>
    </xf>
    <xf numFmtId="0" fontId="0" fillId="0" borderId="61" xfId="0" applyFill="1" applyBorder="1" applyAlignment="1" applyProtection="1">
      <alignment horizontal="center" vertical="center" wrapText="1"/>
    </xf>
    <xf numFmtId="0" fontId="22" fillId="0" borderId="71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72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73" xfId="69" applyNumberFormat="1" applyFont="1" applyFill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</xf>
    <xf numFmtId="0" fontId="18" fillId="0" borderId="12" xfId="0" applyFont="1" applyBorder="1" applyAlignment="1" applyProtection="1">
      <alignment horizontal="center" vertical="center" wrapText="1"/>
    </xf>
    <xf numFmtId="41" fontId="26" fillId="0" borderId="23" xfId="70" applyFont="1" applyBorder="1" applyAlignment="1" applyProtection="1">
      <alignment horizontal="center" vertical="center" wrapText="1"/>
    </xf>
    <xf numFmtId="41" fontId="26" fillId="0" borderId="24" xfId="70" applyFont="1" applyBorder="1" applyAlignment="1" applyProtection="1">
      <alignment horizontal="center" vertical="center" wrapText="1"/>
    </xf>
    <xf numFmtId="14" fontId="21" fillId="0" borderId="5" xfId="69" applyNumberFormat="1" applyFont="1" applyFill="1" applyBorder="1" applyAlignment="1" applyProtection="1">
      <alignment horizontal="center" vertical="center" wrapText="1"/>
    </xf>
    <xf numFmtId="14" fontId="21" fillId="0" borderId="3" xfId="69" applyNumberFormat="1" applyFont="1" applyFill="1" applyBorder="1" applyAlignment="1" applyProtection="1">
      <alignment horizontal="center" vertical="center" wrapText="1"/>
    </xf>
    <xf numFmtId="14" fontId="21" fillId="0" borderId="6" xfId="69" applyNumberFormat="1" applyFont="1" applyFill="1" applyBorder="1" applyAlignment="1" applyProtection="1">
      <alignment horizontal="center" vertical="center" wrapText="1"/>
    </xf>
    <xf numFmtId="0" fontId="43" fillId="0" borderId="3" xfId="69" applyFont="1" applyFill="1" applyBorder="1" applyAlignment="1" applyProtection="1">
      <alignment horizontal="right" vertical="center" wrapText="1"/>
    </xf>
    <xf numFmtId="0" fontId="42" fillId="0" borderId="0" xfId="0" applyFont="1" applyAlignment="1" applyProtection="1">
      <alignment horizontal="left" vertical="center" wrapText="1"/>
    </xf>
    <xf numFmtId="0" fontId="24" fillId="0" borderId="0" xfId="0" applyFont="1" applyBorder="1" applyAlignment="1" applyProtection="1">
      <alignment horizontal="center" vertical="center"/>
      <protection locked="0"/>
    </xf>
    <xf numFmtId="0" fontId="24" fillId="0" borderId="0" xfId="0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 wrapText="1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5" xfId="0" applyFont="1" applyBorder="1" applyAlignment="1" applyProtection="1">
      <alignment horizontal="center" vertical="center"/>
      <protection locked="0"/>
    </xf>
    <xf numFmtId="0" fontId="25" fillId="0" borderId="40" xfId="0" applyFont="1" applyBorder="1" applyAlignment="1" applyProtection="1">
      <alignment horizontal="center" vertical="center"/>
    </xf>
    <xf numFmtId="0" fontId="25" fillId="0" borderId="41" xfId="0" applyFont="1" applyBorder="1" applyAlignment="1" applyProtection="1">
      <alignment horizontal="center" vertical="center"/>
    </xf>
    <xf numFmtId="0" fontId="25" fillId="0" borderId="51" xfId="0" applyFont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center" vertical="center"/>
    </xf>
    <xf numFmtId="0" fontId="25" fillId="0" borderId="43" xfId="0" applyFont="1" applyBorder="1" applyAlignment="1" applyProtection="1">
      <alignment horizontal="center" vertical="center"/>
    </xf>
    <xf numFmtId="0" fontId="25" fillId="0" borderId="4" xfId="0" applyFont="1" applyBorder="1" applyAlignment="1" applyProtection="1">
      <alignment horizontal="center" vertical="center"/>
    </xf>
    <xf numFmtId="42" fontId="25" fillId="0" borderId="41" xfId="0" applyNumberFormat="1" applyFont="1" applyBorder="1" applyAlignment="1" applyProtection="1">
      <alignment horizontal="center" vertical="center"/>
    </xf>
    <xf numFmtId="42" fontId="25" fillId="0" borderId="45" xfId="0" applyNumberFormat="1" applyFont="1" applyBorder="1" applyAlignment="1" applyProtection="1">
      <alignment horizontal="center" vertical="center"/>
    </xf>
    <xf numFmtId="42" fontId="25" fillId="0" borderId="0" xfId="0" applyNumberFormat="1" applyFont="1" applyBorder="1" applyAlignment="1" applyProtection="1">
      <alignment horizontal="center" vertical="center"/>
    </xf>
    <xf numFmtId="42" fontId="25" fillId="0" borderId="50" xfId="0" applyNumberFormat="1" applyFont="1" applyBorder="1" applyAlignment="1" applyProtection="1">
      <alignment horizontal="center" vertical="center"/>
    </xf>
    <xf numFmtId="42" fontId="25" fillId="0" borderId="4" xfId="0" applyNumberFormat="1" applyFont="1" applyBorder="1" applyAlignment="1" applyProtection="1">
      <alignment horizontal="center" vertical="center"/>
    </xf>
    <xf numFmtId="42" fontId="25" fillId="0" borderId="46" xfId="0" applyNumberFormat="1" applyFont="1" applyBorder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5" xfId="0" applyFont="1" applyBorder="1" applyAlignment="1" applyProtection="1">
      <alignment horizontal="center" vertical="center"/>
      <protection locked="0"/>
    </xf>
    <xf numFmtId="0" fontId="26" fillId="0" borderId="21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horizontal="center" vertical="center"/>
      <protection locked="0"/>
    </xf>
    <xf numFmtId="0" fontId="22" fillId="0" borderId="31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32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33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57" xfId="69" applyNumberFormat="1" applyFont="1" applyFill="1" applyBorder="1" applyAlignment="1" applyProtection="1">
      <alignment horizontal="center" vertical="center" wrapText="1"/>
      <protection locked="0"/>
    </xf>
    <xf numFmtId="0" fontId="42" fillId="0" borderId="62" xfId="0" applyFont="1" applyBorder="1" applyAlignment="1" applyProtection="1">
      <alignment horizontal="right" vertical="center" wrapText="1"/>
    </xf>
    <xf numFmtId="0" fontId="42" fillId="0" borderId="0" xfId="0" applyFont="1" applyBorder="1" applyAlignment="1" applyProtection="1">
      <alignment horizontal="left" vertical="center" wrapText="1"/>
    </xf>
    <xf numFmtId="0" fontId="22" fillId="0" borderId="64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65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66" xfId="69" applyNumberFormat="1" applyFont="1" applyFill="1" applyBorder="1" applyAlignment="1" applyProtection="1">
      <alignment horizontal="center" vertical="center" wrapText="1"/>
      <protection locked="0"/>
    </xf>
    <xf numFmtId="0" fontId="18" fillId="0" borderId="48" xfId="0" applyFont="1" applyBorder="1" applyAlignment="1" applyProtection="1">
      <alignment horizontal="center" vertical="center" wrapText="1"/>
    </xf>
    <xf numFmtId="0" fontId="18" fillId="0" borderId="2" xfId="0" applyFont="1" applyBorder="1" applyAlignment="1" applyProtection="1">
      <alignment horizontal="center" vertical="center" wrapText="1"/>
    </xf>
    <xf numFmtId="14" fontId="21" fillId="0" borderId="15" xfId="69" applyNumberFormat="1" applyFont="1" applyFill="1" applyBorder="1" applyAlignment="1" applyProtection="1">
      <alignment horizontal="center" vertical="center" wrapText="1"/>
    </xf>
    <xf numFmtId="14" fontId="21" fillId="0" borderId="37" xfId="69" applyNumberFormat="1" applyFont="1" applyFill="1" applyBorder="1" applyAlignment="1" applyProtection="1">
      <alignment horizontal="center" vertical="center" wrapText="1"/>
    </xf>
    <xf numFmtId="14" fontId="21" fillId="0" borderId="47" xfId="69" applyNumberFormat="1" applyFont="1" applyFill="1" applyBorder="1" applyAlignment="1" applyProtection="1">
      <alignment horizontal="center" vertical="center" wrapText="1"/>
    </xf>
    <xf numFmtId="14" fontId="21" fillId="0" borderId="9" xfId="69" applyNumberFormat="1" applyFont="1" applyFill="1" applyBorder="1" applyAlignment="1" applyProtection="1">
      <alignment horizontal="center" vertical="center" wrapText="1"/>
    </xf>
    <xf numFmtId="14" fontId="21" fillId="0" borderId="10" xfId="69" applyNumberFormat="1" applyFont="1" applyFill="1" applyBorder="1" applyAlignment="1" applyProtection="1">
      <alignment horizontal="center" vertical="center" wrapText="1"/>
    </xf>
    <xf numFmtId="0" fontId="21" fillId="0" borderId="36" xfId="69" applyFont="1" applyFill="1" applyBorder="1" applyAlignment="1" applyProtection="1">
      <alignment horizontal="center" vertical="center" wrapText="1"/>
    </xf>
    <xf numFmtId="0" fontId="21" fillId="0" borderId="8" xfId="69" applyFont="1" applyFill="1" applyBorder="1" applyAlignment="1" applyProtection="1">
      <alignment horizontal="center" vertical="center" wrapText="1"/>
    </xf>
    <xf numFmtId="0" fontId="42" fillId="0" borderId="14" xfId="0" applyFont="1" applyBorder="1" applyAlignment="1" applyProtection="1">
      <alignment horizontal="right" vertical="center" wrapText="1"/>
    </xf>
    <xf numFmtId="42" fontId="25" fillId="0" borderId="44" xfId="0" applyNumberFormat="1" applyFont="1" applyBorder="1" applyAlignment="1" applyProtection="1">
      <alignment horizontal="center" vertical="center" wrapText="1"/>
    </xf>
    <xf numFmtId="42" fontId="25" fillId="0" borderId="41" xfId="0" applyNumberFormat="1" applyFont="1" applyBorder="1" applyAlignment="1" applyProtection="1">
      <alignment horizontal="center" vertical="center" wrapText="1"/>
    </xf>
    <xf numFmtId="42" fontId="25" fillId="0" borderId="45" xfId="0" applyNumberFormat="1" applyFont="1" applyBorder="1" applyAlignment="1" applyProtection="1">
      <alignment horizontal="center" vertical="center" wrapText="1"/>
    </xf>
    <xf numFmtId="42" fontId="25" fillId="0" borderId="13" xfId="0" applyNumberFormat="1" applyFont="1" applyBorder="1" applyAlignment="1" applyProtection="1">
      <alignment horizontal="center" vertical="center" wrapText="1"/>
    </xf>
    <xf numFmtId="42" fontId="25" fillId="0" borderId="0" xfId="0" applyNumberFormat="1" applyFont="1" applyBorder="1" applyAlignment="1" applyProtection="1">
      <alignment horizontal="center" vertical="center" wrapText="1"/>
    </xf>
    <xf numFmtId="42" fontId="25" fillId="0" borderId="50" xfId="0" applyNumberFormat="1" applyFont="1" applyBorder="1" applyAlignment="1" applyProtection="1">
      <alignment horizontal="center" vertical="center" wrapText="1"/>
    </xf>
    <xf numFmtId="42" fontId="25" fillId="0" borderId="38" xfId="0" applyNumberFormat="1" applyFont="1" applyBorder="1" applyAlignment="1" applyProtection="1">
      <alignment horizontal="center" vertical="center" wrapText="1"/>
    </xf>
    <xf numFmtId="42" fontId="25" fillId="0" borderId="4" xfId="0" applyNumberFormat="1" applyFont="1" applyBorder="1" applyAlignment="1" applyProtection="1">
      <alignment horizontal="center" vertical="center" wrapText="1"/>
    </xf>
    <xf numFmtId="42" fontId="25" fillId="0" borderId="46" xfId="0" applyNumberFormat="1" applyFont="1" applyBorder="1" applyAlignment="1" applyProtection="1">
      <alignment horizontal="center" vertical="center" wrapText="1"/>
    </xf>
    <xf numFmtId="0" fontId="26" fillId="0" borderId="5" xfId="0" applyFont="1" applyBorder="1" applyAlignment="1" applyProtection="1">
      <alignment horizontal="center" vertical="center" wrapText="1"/>
    </xf>
    <xf numFmtId="0" fontId="26" fillId="0" borderId="3" xfId="0" applyFont="1" applyBorder="1" applyAlignment="1" applyProtection="1">
      <alignment horizontal="center" vertical="center" wrapText="1"/>
    </xf>
    <xf numFmtId="0" fontId="26" fillId="0" borderId="6" xfId="0" applyFont="1" applyBorder="1" applyAlignment="1" applyProtection="1">
      <alignment horizontal="center" vertical="center" wrapText="1"/>
    </xf>
    <xf numFmtId="0" fontId="26" fillId="0" borderId="26" xfId="0" applyFont="1" applyBorder="1" applyAlignment="1" applyProtection="1">
      <alignment horizontal="center" vertical="center" wrapText="1"/>
    </xf>
    <xf numFmtId="0" fontId="26" fillId="0" borderId="35" xfId="0" applyFont="1" applyBorder="1" applyAlignment="1" applyProtection="1">
      <alignment horizontal="center" vertical="center" wrapText="1"/>
    </xf>
    <xf numFmtId="0" fontId="26" fillId="0" borderId="26" xfId="0" applyFont="1" applyFill="1" applyBorder="1" applyAlignment="1" applyProtection="1">
      <alignment horizontal="center" vertical="center" wrapText="1"/>
    </xf>
    <xf numFmtId="0" fontId="26" fillId="0" borderId="35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horizontal="center" vertical="center" wrapText="1"/>
    </xf>
    <xf numFmtId="0" fontId="28" fillId="0" borderId="0" xfId="0" applyFont="1" applyBorder="1" applyAlignment="1" applyProtection="1">
      <alignment horizontal="center" vertical="center" wrapText="1"/>
    </xf>
    <xf numFmtId="0" fontId="26" fillId="0" borderId="25" xfId="0" applyFont="1" applyBorder="1" applyAlignment="1" applyProtection="1">
      <alignment horizontal="center" vertical="center" wrapText="1"/>
    </xf>
    <xf numFmtId="0" fontId="26" fillId="0" borderId="34" xfId="0" applyFont="1" applyBorder="1" applyAlignment="1" applyProtection="1">
      <alignment horizontal="center" vertical="center" wrapText="1"/>
    </xf>
    <xf numFmtId="0" fontId="26" fillId="0" borderId="28" xfId="0" applyFont="1" applyBorder="1" applyAlignment="1" applyProtection="1">
      <alignment horizontal="center" vertical="center" wrapText="1"/>
    </xf>
    <xf numFmtId="0" fontId="25" fillId="0" borderId="40" xfId="0" applyFont="1" applyBorder="1" applyAlignment="1" applyProtection="1">
      <alignment horizontal="center" vertical="center" wrapText="1"/>
    </xf>
    <xf numFmtId="0" fontId="25" fillId="0" borderId="41" xfId="0" applyFont="1" applyBorder="1" applyAlignment="1" applyProtection="1">
      <alignment horizontal="center" vertical="center" wrapText="1"/>
    </xf>
    <xf numFmtId="0" fontId="25" fillId="0" borderId="42" xfId="0" applyFont="1" applyBorder="1" applyAlignment="1" applyProtection="1">
      <alignment horizontal="center" vertical="center" wrapText="1"/>
    </xf>
    <xf numFmtId="0" fontId="25" fillId="0" borderId="51" xfId="0" applyFont="1" applyBorder="1" applyAlignment="1" applyProtection="1">
      <alignment horizontal="center" vertical="center" wrapText="1"/>
    </xf>
    <xf numFmtId="0" fontId="25" fillId="0" borderId="0" xfId="0" applyFont="1" applyBorder="1" applyAlignment="1" applyProtection="1">
      <alignment horizontal="center" vertical="center" wrapText="1"/>
    </xf>
    <xf numFmtId="0" fontId="25" fillId="0" borderId="52" xfId="0" applyFont="1" applyBorder="1" applyAlignment="1" applyProtection="1">
      <alignment horizontal="center" vertical="center" wrapText="1"/>
    </xf>
    <xf numFmtId="0" fontId="25" fillId="0" borderId="43" xfId="0" applyFont="1" applyBorder="1" applyAlignment="1" applyProtection="1">
      <alignment horizontal="center" vertical="center" wrapText="1"/>
    </xf>
    <xf numFmtId="0" fontId="25" fillId="0" borderId="4" xfId="0" applyFont="1" applyBorder="1" applyAlignment="1" applyProtection="1">
      <alignment horizontal="center" vertical="center" wrapText="1"/>
    </xf>
    <xf numFmtId="0" fontId="25" fillId="0" borderId="39" xfId="0" applyFont="1" applyBorder="1" applyAlignment="1" applyProtection="1">
      <alignment horizontal="center" vertical="center" wrapText="1"/>
    </xf>
    <xf numFmtId="0" fontId="26" fillId="0" borderId="7" xfId="0" applyFont="1" applyBorder="1" applyAlignment="1" applyProtection="1">
      <alignment horizontal="center" vertical="center" wrapText="1"/>
    </xf>
    <xf numFmtId="42" fontId="26" fillId="0" borderId="23" xfId="70" applyNumberFormat="1" applyFont="1" applyBorder="1" applyAlignment="1" applyProtection="1">
      <alignment horizontal="center" vertical="center" wrapText="1"/>
    </xf>
    <xf numFmtId="42" fontId="26" fillId="0" borderId="49" xfId="70" applyNumberFormat="1" applyFont="1" applyBorder="1" applyAlignment="1" applyProtection="1">
      <alignment horizontal="center" vertical="center" wrapText="1"/>
    </xf>
    <xf numFmtId="42" fontId="26" fillId="0" borderId="24" xfId="70" applyNumberFormat="1" applyFont="1" applyBorder="1" applyAlignment="1" applyProtection="1">
      <alignment horizontal="center" vertical="center" wrapText="1"/>
    </xf>
    <xf numFmtId="0" fontId="42" fillId="0" borderId="0" xfId="0" applyFont="1" applyBorder="1" applyAlignment="1" applyProtection="1">
      <alignment horizontal="right" vertical="center" wrapText="1"/>
    </xf>
    <xf numFmtId="0" fontId="18" fillId="0" borderId="36" xfId="0" applyFont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center" vertical="center" wrapText="1"/>
    </xf>
    <xf numFmtId="0" fontId="21" fillId="0" borderId="5" xfId="69" applyFont="1" applyFill="1" applyBorder="1" applyAlignment="1" applyProtection="1">
      <alignment horizontal="center" vertical="center" wrapText="1"/>
    </xf>
    <xf numFmtId="0" fontId="21" fillId="0" borderId="6" xfId="69" applyFont="1" applyFill="1" applyBorder="1" applyAlignment="1" applyProtection="1">
      <alignment horizontal="center" vertical="center" wrapText="1"/>
    </xf>
    <xf numFmtId="14" fontId="21" fillId="0" borderId="36" xfId="69" applyNumberFormat="1" applyFont="1" applyFill="1" applyBorder="1" applyAlignment="1" applyProtection="1">
      <alignment horizontal="center" vertical="center" wrapText="1"/>
    </xf>
    <xf numFmtId="14" fontId="21" fillId="0" borderId="8" xfId="69" applyNumberFormat="1" applyFont="1" applyFill="1" applyBorder="1" applyAlignment="1" applyProtection="1">
      <alignment horizontal="center" vertical="center" wrapText="1"/>
    </xf>
    <xf numFmtId="0" fontId="42" fillId="0" borderId="62" xfId="0" applyFont="1" applyBorder="1" applyAlignment="1" applyProtection="1">
      <alignment horizontal="right" vertical="center"/>
    </xf>
    <xf numFmtId="0" fontId="22" fillId="0" borderId="57" xfId="69" applyNumberFormat="1" applyFont="1" applyFill="1" applyBorder="1" applyAlignment="1" applyProtection="1">
      <alignment horizontal="center" vertical="center" wrapText="1" shrinkToFit="1"/>
      <protection locked="0"/>
    </xf>
    <xf numFmtId="0" fontId="42" fillId="0" borderId="3" xfId="0" applyFont="1" applyBorder="1" applyAlignment="1" applyProtection="1">
      <alignment horizontal="center" vertical="center"/>
    </xf>
    <xf numFmtId="42" fontId="25" fillId="0" borderId="28" xfId="0" applyNumberFormat="1" applyFont="1" applyBorder="1" applyAlignment="1" applyProtection="1">
      <alignment horizontal="center" vertical="center" wrapText="1"/>
    </xf>
    <xf numFmtId="42" fontId="25" fillId="0" borderId="18" xfId="0" applyNumberFormat="1" applyFont="1" applyBorder="1" applyAlignment="1" applyProtection="1">
      <alignment horizontal="center" vertical="center" wrapText="1"/>
    </xf>
    <xf numFmtId="42" fontId="25" fillId="0" borderId="29" xfId="0" applyNumberFormat="1" applyFont="1" applyBorder="1" applyAlignment="1" applyProtection="1">
      <alignment horizontal="center" vertical="center" wrapText="1"/>
    </xf>
    <xf numFmtId="42" fontId="25" fillId="0" borderId="22" xfId="0" applyNumberFormat="1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21" xfId="0" applyFont="1" applyBorder="1" applyAlignment="1" applyProtection="1">
      <alignment horizontal="center" vertical="center" wrapText="1"/>
    </xf>
    <xf numFmtId="0" fontId="18" fillId="0" borderId="55" xfId="0" applyFont="1" applyBorder="1" applyAlignment="1" applyProtection="1">
      <alignment horizontal="center" vertical="center" wrapText="1"/>
      <protection locked="0"/>
    </xf>
    <xf numFmtId="0" fontId="18" fillId="0" borderId="56" xfId="0" applyFont="1" applyBorder="1" applyAlignment="1" applyProtection="1">
      <alignment horizontal="center" vertical="center" wrapText="1"/>
      <protection locked="0"/>
    </xf>
    <xf numFmtId="0" fontId="18" fillId="0" borderId="68" xfId="0" applyFont="1" applyBorder="1" applyAlignment="1" applyProtection="1">
      <alignment horizontal="center" vertical="center" wrapText="1"/>
    </xf>
    <xf numFmtId="0" fontId="18" fillId="0" borderId="67" xfId="0" applyFont="1" applyBorder="1" applyAlignment="1" applyProtection="1">
      <alignment horizontal="center" vertical="center" wrapText="1"/>
    </xf>
    <xf numFmtId="0" fontId="24" fillId="0" borderId="0" xfId="0" applyFont="1" applyBorder="1" applyAlignment="1" applyProtection="1">
      <alignment horizontal="center" vertical="center" wrapText="1"/>
    </xf>
    <xf numFmtId="0" fontId="26" fillId="0" borderId="17" xfId="0" applyFont="1" applyBorder="1" applyAlignment="1" applyProtection="1">
      <alignment horizontal="center" vertical="center" wrapText="1"/>
    </xf>
    <xf numFmtId="0" fontId="25" fillId="0" borderId="16" xfId="0" applyFont="1" applyBorder="1" applyAlignment="1" applyProtection="1">
      <alignment horizontal="center" vertical="center" wrapText="1"/>
    </xf>
    <xf numFmtId="0" fontId="25" fillId="0" borderId="25" xfId="0" applyFont="1" applyBorder="1" applyAlignment="1" applyProtection="1">
      <alignment horizontal="center" vertical="center" wrapText="1"/>
    </xf>
    <xf numFmtId="0" fontId="25" fillId="0" borderId="20" xfId="0" applyFont="1" applyBorder="1" applyAlignment="1" applyProtection="1">
      <alignment horizontal="center" vertical="center" wrapText="1"/>
    </xf>
    <xf numFmtId="0" fontId="25" fillId="0" borderId="26" xfId="0" applyFont="1" applyBorder="1" applyAlignment="1" applyProtection="1">
      <alignment horizontal="center" vertical="center" wrapText="1"/>
    </xf>
    <xf numFmtId="41" fontId="26" fillId="0" borderId="69" xfId="70" applyFont="1" applyBorder="1" applyAlignment="1" applyProtection="1">
      <alignment horizontal="center" vertical="center" wrapText="1"/>
    </xf>
    <xf numFmtId="41" fontId="26" fillId="0" borderId="70" xfId="70" applyFont="1" applyBorder="1" applyAlignment="1" applyProtection="1">
      <alignment horizontal="center" vertical="center" wrapText="1"/>
    </xf>
    <xf numFmtId="41" fontId="18" fillId="0" borderId="13" xfId="70" applyFont="1" applyBorder="1" applyAlignment="1" applyProtection="1">
      <alignment horizontal="center" vertical="center" wrapText="1"/>
    </xf>
    <xf numFmtId="41" fontId="18" fillId="0" borderId="0" xfId="70" applyFont="1" applyBorder="1" applyAlignment="1" applyProtection="1">
      <alignment horizontal="center" vertical="center" wrapText="1"/>
    </xf>
    <xf numFmtId="0" fontId="31" fillId="0" borderId="43" xfId="0" applyFont="1" applyBorder="1" applyAlignment="1" applyProtection="1">
      <alignment horizontal="center" vertical="center" wrapText="1"/>
    </xf>
    <xf numFmtId="0" fontId="31" fillId="0" borderId="4" xfId="0" applyFont="1" applyBorder="1" applyAlignment="1" applyProtection="1">
      <alignment horizontal="center" vertical="center" wrapText="1"/>
    </xf>
    <xf numFmtId="0" fontId="31" fillId="0" borderId="39" xfId="0" applyFont="1" applyBorder="1" applyAlignment="1" applyProtection="1">
      <alignment horizontal="center" vertical="center" wrapText="1"/>
    </xf>
    <xf numFmtId="0" fontId="25" fillId="0" borderId="38" xfId="0" applyNumberFormat="1" applyFont="1" applyBorder="1" applyAlignment="1" applyProtection="1">
      <alignment horizontal="center" vertical="center" wrapText="1"/>
      <protection locked="0"/>
    </xf>
    <xf numFmtId="0" fontId="25" fillId="0" borderId="4" xfId="0" applyNumberFormat="1" applyFont="1" applyBorder="1" applyAlignment="1" applyProtection="1">
      <alignment horizontal="center" vertical="center" wrapText="1"/>
      <protection locked="0"/>
    </xf>
    <xf numFmtId="0" fontId="25" fillId="0" borderId="46" xfId="0" applyNumberFormat="1" applyFont="1" applyBorder="1" applyAlignment="1" applyProtection="1">
      <alignment horizontal="center" vertical="center" wrapText="1"/>
      <protection locked="0"/>
    </xf>
  </cellXfs>
  <cellStyles count="74">
    <cellStyle name="??&amp;O?&amp;H?_x0008__x000f__x0007_?_x0007__x0001__x0001_" xfId="2" xr:uid="{00000000-0005-0000-0000-000000000000}"/>
    <cellStyle name="??&amp;O?&amp;H?_x0008_??_x0007__x0001__x0001_" xfId="3" xr:uid="{00000000-0005-0000-0000-000001000000}"/>
    <cellStyle name="ÅëÈ­ [0]_¿µ¾÷º¸°í" xfId="4" xr:uid="{00000000-0005-0000-0000-000002000000}"/>
    <cellStyle name="AeE­ [0]_PERSONAL" xfId="5" xr:uid="{00000000-0005-0000-0000-000003000000}"/>
    <cellStyle name="ÅëÈ­_¿µ¾÷º¸°í" xfId="6" xr:uid="{00000000-0005-0000-0000-000004000000}"/>
    <cellStyle name="AeE­_PERSONAL" xfId="7" xr:uid="{00000000-0005-0000-0000-000005000000}"/>
    <cellStyle name="ALIGNMENT" xfId="8" xr:uid="{00000000-0005-0000-0000-000006000000}"/>
    <cellStyle name="ÄÞ¸¶ [0]_¿µ¾÷º¸°í" xfId="9" xr:uid="{00000000-0005-0000-0000-000007000000}"/>
    <cellStyle name="ÄÞ¸¶_¿µ¾÷º¸°í" xfId="10" xr:uid="{00000000-0005-0000-0000-000008000000}"/>
    <cellStyle name="Ç¥ÁØ_¸®½º·á" xfId="11" xr:uid="{00000000-0005-0000-0000-000009000000}"/>
    <cellStyle name="C￥AØ_PERSONAL" xfId="12" xr:uid="{00000000-0005-0000-0000-00000A000000}"/>
    <cellStyle name="category" xfId="13" xr:uid="{00000000-0005-0000-0000-00000B000000}"/>
    <cellStyle name="Comma [0]_ SG&amp;A Bridge " xfId="14" xr:uid="{00000000-0005-0000-0000-00000C000000}"/>
    <cellStyle name="Comma_ SG&amp;A Bridge " xfId="15" xr:uid="{00000000-0005-0000-0000-00000D000000}"/>
    <cellStyle name="Currency [0]_ SG&amp;A Bridge " xfId="16" xr:uid="{00000000-0005-0000-0000-00000E000000}"/>
    <cellStyle name="Currency_ SG&amp;A Bridge " xfId="17" xr:uid="{00000000-0005-0000-0000-00000F000000}"/>
    <cellStyle name="Currency1" xfId="18" xr:uid="{00000000-0005-0000-0000-000010000000}"/>
    <cellStyle name="en" xfId="19" xr:uid="{00000000-0005-0000-0000-000011000000}"/>
    <cellStyle name="Grey" xfId="20" xr:uid="{00000000-0005-0000-0000-000012000000}"/>
    <cellStyle name="HEADER" xfId="21" xr:uid="{00000000-0005-0000-0000-000013000000}"/>
    <cellStyle name="Header1" xfId="22" xr:uid="{00000000-0005-0000-0000-000014000000}"/>
    <cellStyle name="Header2" xfId="23" xr:uid="{00000000-0005-0000-0000-000015000000}"/>
    <cellStyle name="Input [yellow]" xfId="24" xr:uid="{00000000-0005-0000-0000-000016000000}"/>
    <cellStyle name="Model" xfId="25" xr:uid="{00000000-0005-0000-0000-000017000000}"/>
    <cellStyle name="_x0003_n_x0007_" xfId="26" xr:uid="{00000000-0005-0000-0000-000018000000}"/>
    <cellStyle name="Normal" xfId="73" xr:uid="{00000000-0005-0000-0000-000019000000}"/>
    <cellStyle name="Normal - Style1" xfId="27" xr:uid="{00000000-0005-0000-0000-00001A000000}"/>
    <cellStyle name="Normal_ SG&amp;A Bridge " xfId="28" xr:uid="{00000000-0005-0000-0000-00001B000000}"/>
    <cellStyle name="Percent [2]" xfId="29" xr:uid="{00000000-0005-0000-0000-00001C000000}"/>
    <cellStyle name="subhead" xfId="30" xr:uid="{00000000-0005-0000-0000-00001D000000}"/>
    <cellStyle name="뒤에 오는 하이퍼링크" xfId="31" xr:uid="{00000000-0005-0000-0000-00001E000000}"/>
    <cellStyle name="뷭?_BOOKSHIP" xfId="32" xr:uid="{00000000-0005-0000-0000-00001F000000}"/>
    <cellStyle name="숫자" xfId="33" xr:uid="{00000000-0005-0000-0000-000020000000}"/>
    <cellStyle name="쉼표 [0]" xfId="70" builtinId="6"/>
    <cellStyle name="쉼표 [0] 2" xfId="34" xr:uid="{00000000-0005-0000-0000-000022000000}"/>
    <cellStyle name="쉼표 [0] 3" xfId="35" xr:uid="{00000000-0005-0000-0000-000023000000}"/>
    <cellStyle name="쉼표 [0] 4" xfId="36" xr:uid="{00000000-0005-0000-0000-000024000000}"/>
    <cellStyle name="스타일 1" xfId="37" xr:uid="{00000000-0005-0000-0000-000025000000}"/>
    <cellStyle name="스타일 10" xfId="38" xr:uid="{00000000-0005-0000-0000-000026000000}"/>
    <cellStyle name="스타일 11" xfId="39" xr:uid="{00000000-0005-0000-0000-000027000000}"/>
    <cellStyle name="스타일 12" xfId="40" xr:uid="{00000000-0005-0000-0000-000028000000}"/>
    <cellStyle name="스타일 13" xfId="41" xr:uid="{00000000-0005-0000-0000-000029000000}"/>
    <cellStyle name="스타일 14" xfId="42" xr:uid="{00000000-0005-0000-0000-00002A000000}"/>
    <cellStyle name="스타일 15" xfId="43" xr:uid="{00000000-0005-0000-0000-00002B000000}"/>
    <cellStyle name="스타일 16" xfId="44" xr:uid="{00000000-0005-0000-0000-00002C000000}"/>
    <cellStyle name="스타일 17" xfId="45" xr:uid="{00000000-0005-0000-0000-00002D000000}"/>
    <cellStyle name="스타일 18" xfId="46" xr:uid="{00000000-0005-0000-0000-00002E000000}"/>
    <cellStyle name="스타일 19" xfId="47" xr:uid="{00000000-0005-0000-0000-00002F000000}"/>
    <cellStyle name="스타일 2" xfId="48" xr:uid="{00000000-0005-0000-0000-000030000000}"/>
    <cellStyle name="스타일 3" xfId="49" xr:uid="{00000000-0005-0000-0000-000031000000}"/>
    <cellStyle name="스타일 4" xfId="50" xr:uid="{00000000-0005-0000-0000-000032000000}"/>
    <cellStyle name="스타일 5" xfId="51" xr:uid="{00000000-0005-0000-0000-000033000000}"/>
    <cellStyle name="스타일 6" xfId="52" xr:uid="{00000000-0005-0000-0000-000034000000}"/>
    <cellStyle name="스타일 7" xfId="53" xr:uid="{00000000-0005-0000-0000-000035000000}"/>
    <cellStyle name="스타일 8" xfId="54" xr:uid="{00000000-0005-0000-0000-000036000000}"/>
    <cellStyle name="스타일 9" xfId="55" xr:uid="{00000000-0005-0000-0000-000037000000}"/>
    <cellStyle name="열어 본 하이퍼링크" xfId="72" builtinId="9" hidden="1"/>
    <cellStyle name="제목1" xfId="56" xr:uid="{00000000-0005-0000-0000-000039000000}"/>
    <cellStyle name="콤마 [0]_  종  합  " xfId="57" xr:uid="{00000000-0005-0000-0000-00003A000000}"/>
    <cellStyle name="콤마_  종  합  " xfId="58" xr:uid="{00000000-0005-0000-0000-00003B000000}"/>
    <cellStyle name="콤마1" xfId="59" xr:uid="{00000000-0005-0000-0000-00003C000000}"/>
    <cellStyle name="통화 [0] 2" xfId="60" xr:uid="{00000000-0005-0000-0000-00003D000000}"/>
    <cellStyle name="표준" xfId="0" builtinId="0"/>
    <cellStyle name="표준 10" xfId="61" xr:uid="{00000000-0005-0000-0000-00003F000000}"/>
    <cellStyle name="표준 2" xfId="1" xr:uid="{00000000-0005-0000-0000-000040000000}"/>
    <cellStyle name="표준 3" xfId="62" xr:uid="{00000000-0005-0000-0000-000041000000}"/>
    <cellStyle name="표준 4" xfId="63" xr:uid="{00000000-0005-0000-0000-000042000000}"/>
    <cellStyle name="표준 5" xfId="64" xr:uid="{00000000-0005-0000-0000-000043000000}"/>
    <cellStyle name="표준 6" xfId="65" xr:uid="{00000000-0005-0000-0000-000044000000}"/>
    <cellStyle name="표준 7" xfId="66" xr:uid="{00000000-0005-0000-0000-000045000000}"/>
    <cellStyle name="표준 8" xfId="67" xr:uid="{00000000-0005-0000-0000-000046000000}"/>
    <cellStyle name="표준 9" xfId="68" xr:uid="{00000000-0005-0000-0000-000047000000}"/>
    <cellStyle name="표준_06연봉계약서_060314" xfId="69" xr:uid="{00000000-0005-0000-0000-000048000000}"/>
    <cellStyle name="하이퍼링크" xfId="71" builtinId="8" hidden="1"/>
  </cellStyles>
  <dxfs count="50">
    <dxf>
      <fill>
        <patternFill>
          <bgColor theme="9" tint="0.7999511703848384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9" tint="0.79995117038483843"/>
        </patternFill>
      </fill>
    </dxf>
    <dxf>
      <fill>
        <patternFill>
          <bgColor theme="4" tint="0.7999511703848384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  <dxf>
      <font>
        <color rgb="FF000000"/>
      </font>
      <fill>
        <patternFill>
          <bgColor theme="4" tint="0.79995117038483843"/>
        </patternFill>
      </fill>
    </dxf>
    <dxf>
      <fill>
        <patternFill>
          <bgColor theme="4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Drop" dropLines="40" dropStyle="combo" dx="16" fmlaLink="$G$12" fmlaRange="$B$45:$B$306" noThreeD="1" sel="1" val="216"/>
</file>

<file path=xl/ctrlProps/ctrlProp2.xml><?xml version="1.0" encoding="utf-8"?>
<formControlPr xmlns="http://schemas.microsoft.com/office/spreadsheetml/2009/9/main" objectType="Drop" dropLines="40" dropStyle="combo" dx="16" fmlaLink="$L$11" fmlaRange="$B$46:$B$307" noThreeD="1" sel="1" val="222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gif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2.emf"/><Relationship Id="rId1" Type="http://schemas.openxmlformats.org/officeDocument/2006/relationships/image" Target="../media/image1.gif"/><Relationship Id="rId5" Type="http://schemas.openxmlformats.org/officeDocument/2006/relationships/image" Target="../media/image5.png"/><Relationship Id="rId4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7.JPG"/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2.emf"/><Relationship Id="rId1" Type="http://schemas.openxmlformats.org/officeDocument/2006/relationships/image" Target="../media/image1.gif"/><Relationship Id="rId5" Type="http://schemas.openxmlformats.org/officeDocument/2006/relationships/image" Target="../media/image4.JP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8.png"/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8.png"/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emf"/><Relationship Id="rId1" Type="http://schemas.openxmlformats.org/officeDocument/2006/relationships/image" Target="../media/image1.gif"/><Relationship Id="rId5" Type="http://schemas.openxmlformats.org/officeDocument/2006/relationships/image" Target="../media/image6.JPG"/><Relationship Id="rId4" Type="http://schemas.openxmlformats.org/officeDocument/2006/relationships/image" Target="../media/image7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7.JP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392430</xdr:colOff>
      <xdr:row>2</xdr:row>
      <xdr:rowOff>11430</xdr:rowOff>
    </xdr:from>
    <xdr:to>
      <xdr:col>22</xdr:col>
      <xdr:colOff>11430</xdr:colOff>
      <xdr:row>44</xdr:row>
      <xdr:rowOff>44823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/>
        </xdr:cNvSpPr>
      </xdr:nvSpPr>
      <xdr:spPr>
        <a:xfrm>
          <a:off x="8720642" y="603101"/>
          <a:ext cx="7902388" cy="1088068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</a:t>
          </a:r>
          <a:r>
            <a:rPr lang="ko-KR" altLang="en-US" sz="1000" b="1" u="sng" kern="1200" cap="none" dirty="0">
              <a:solidFill>
                <a:srgbClr val="000000"/>
              </a:solidFill>
              <a:latin typeface="Calibri"/>
              <a:ea typeface="Calibri"/>
            </a:rPr>
            <a:t> ※ 지출내역서 작성 방법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: '지출항목'란에 클릭하여 기재할 목록을 선택 후 작성.  </a:t>
          </a:r>
          <a:r>
            <a:rPr lang="ko-KR" altLang="en-US" sz="1300" b="1" u="sng" kern="1200" cap="none" dirty="0">
              <a:solidFill>
                <a:srgbClr val="FF0000"/>
              </a:solidFill>
              <a:latin typeface="Calibri"/>
              <a:ea typeface="Calibri"/>
            </a:rPr>
            <a:t>(반드시 지출항목별로 각각 구분한 후, 일자 순대로 작성) </a:t>
          </a:r>
          <a:r>
            <a:rPr lang="ko-KR" altLang="en-US" sz="1300" b="1" kern="1200" cap="none" dirty="0">
              <a:solidFill>
                <a:srgbClr val="FF0000"/>
              </a:solidFill>
              <a:latin typeface="Calibri"/>
              <a:ea typeface="Calibri"/>
            </a:rPr>
            <a:t> 
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→ 영수증 첨부시에도 지출항복별로 각각 구분한 후, 일자 순대로 첨부                                                                                                             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&lt;작성 예시&gt;
</a:t>
          </a:r>
        </a:p>
      </xdr:txBody>
    </xdr:sp>
    <xdr:clientData/>
  </xdr:twoCellAnchor>
  <xdr:twoCellAnchor editAs="oneCell">
    <xdr:from>
      <xdr:col>1</xdr:col>
      <xdr:colOff>33655</xdr:colOff>
      <xdr:row>0</xdr:row>
      <xdr:rowOff>134620</xdr:rowOff>
    </xdr:from>
    <xdr:to>
      <xdr:col>3</xdr:col>
      <xdr:colOff>295574</xdr:colOff>
      <xdr:row>1</xdr:row>
      <xdr:rowOff>302260</xdr:rowOff>
    </xdr:to>
    <xdr:pic>
      <xdr:nvPicPr>
        <xdr:cNvPr id="6" name="그림 5" descr="xl/media/image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21285"/>
          <a:ext cx="1940560" cy="37719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949960</xdr:colOff>
      <xdr:row>3</xdr:row>
      <xdr:rowOff>21771</xdr:rowOff>
    </xdr:from>
    <xdr:to>
      <xdr:col>8</xdr:col>
      <xdr:colOff>1041960</xdr:colOff>
      <xdr:row>8</xdr:row>
      <xdr:rowOff>113211</xdr:rowOff>
    </xdr:to>
    <xdr:pic>
      <xdr:nvPicPr>
        <xdr:cNvPr id="5" name="그림 4" descr="xl/media/image2.e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89303" y="696685"/>
          <a:ext cx="3172657" cy="1245326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448236</xdr:colOff>
      <xdr:row>31</xdr:row>
      <xdr:rowOff>24129</xdr:rowOff>
    </xdr:from>
    <xdr:to>
      <xdr:col>21</xdr:col>
      <xdr:colOff>522941</xdr:colOff>
      <xdr:row>43</xdr:row>
      <xdr:rowOff>71718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1118" y="8436011"/>
          <a:ext cx="7634941" cy="308811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459740</xdr:colOff>
      <xdr:row>26</xdr:row>
      <xdr:rowOff>78159</xdr:rowOff>
    </xdr:from>
    <xdr:to>
      <xdr:col>21</xdr:col>
      <xdr:colOff>478971</xdr:colOff>
      <xdr:row>28</xdr:row>
      <xdr:rowOff>280306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>
        <a:xfrm>
          <a:off x="9249954" y="7004195"/>
          <a:ext cx="7503160" cy="773647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10</xdr:col>
      <xdr:colOff>526415</xdr:colOff>
      <xdr:row>32</xdr:row>
      <xdr:rowOff>125505</xdr:rowOff>
    </xdr:from>
    <xdr:to>
      <xdr:col>12</xdr:col>
      <xdr:colOff>277906</xdr:colOff>
      <xdr:row>43</xdr:row>
      <xdr:rowOff>116541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/>
        </xdr:cNvSpPr>
      </xdr:nvSpPr>
      <xdr:spPr>
        <a:xfrm>
          <a:off x="9338721" y="8659905"/>
          <a:ext cx="1132056" cy="2698377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10</xdr:col>
      <xdr:colOff>489858</xdr:colOff>
      <xdr:row>3</xdr:row>
      <xdr:rowOff>185057</xdr:rowOff>
    </xdr:from>
    <xdr:to>
      <xdr:col>21</xdr:col>
      <xdr:colOff>544284</xdr:colOff>
      <xdr:row>25</xdr:row>
      <xdr:rowOff>206830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7287" y="859971"/>
          <a:ext cx="7598226" cy="5965373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6</xdr:col>
      <xdr:colOff>949961</xdr:colOff>
      <xdr:row>3</xdr:row>
      <xdr:rowOff>21771</xdr:rowOff>
    </xdr:from>
    <xdr:to>
      <xdr:col>9</xdr:col>
      <xdr:colOff>43544</xdr:colOff>
      <xdr:row>7</xdr:row>
      <xdr:rowOff>21772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9304" y="696685"/>
          <a:ext cx="3251926" cy="9579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</xdr:colOff>
      <xdr:row>0</xdr:row>
      <xdr:rowOff>89535</xdr:rowOff>
    </xdr:from>
    <xdr:to>
      <xdr:col>3</xdr:col>
      <xdr:colOff>542290</xdr:colOff>
      <xdr:row>1</xdr:row>
      <xdr:rowOff>280035</xdr:rowOff>
    </xdr:to>
    <xdr:pic>
      <xdr:nvPicPr>
        <xdr:cNvPr id="5" name="그림 4" descr="xl/media/image1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775" y="76200"/>
          <a:ext cx="1940560" cy="381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392430</xdr:colOff>
      <xdr:row>2</xdr:row>
      <xdr:rowOff>0</xdr:rowOff>
    </xdr:from>
    <xdr:to>
      <xdr:col>22</xdr:col>
      <xdr:colOff>11430</xdr:colOff>
      <xdr:row>41</xdr:row>
      <xdr:rowOff>53788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/>
        </xdr:cNvSpPr>
      </xdr:nvSpPr>
      <xdr:spPr>
        <a:xfrm>
          <a:off x="8720642" y="528918"/>
          <a:ext cx="7902388" cy="1055145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</a:t>
          </a:r>
          <a:r>
            <a:rPr lang="ko-KR" altLang="en-US" sz="1000" b="1" u="sng" kern="1200" cap="none" dirty="0">
              <a:solidFill>
                <a:srgbClr val="000000"/>
              </a:solidFill>
              <a:latin typeface="Calibri"/>
              <a:ea typeface="Calibri"/>
            </a:rPr>
            <a:t> ※ 지출내역서 작성 방법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: '지출항목'란에 클릭하여 기재할 목록을 선택 후 작성.  </a:t>
          </a:r>
          <a:r>
            <a:rPr lang="ko-KR" altLang="en-US" sz="1300" b="1" u="sng" kern="1200" cap="none" dirty="0">
              <a:solidFill>
                <a:srgbClr val="FF0000"/>
              </a:solidFill>
              <a:latin typeface="Calibri"/>
              <a:ea typeface="Calibri"/>
            </a:rPr>
            <a:t>(반드시 지출항목별로 각각 구분한 후, 일자 순대로 작성) </a:t>
          </a:r>
          <a:r>
            <a:rPr lang="ko-KR" altLang="en-US" sz="1300" b="1" kern="1200" cap="none" dirty="0">
              <a:solidFill>
                <a:srgbClr val="FF0000"/>
              </a:solidFill>
              <a:latin typeface="Calibri"/>
              <a:ea typeface="Calibri"/>
            </a:rPr>
            <a:t> 
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→ 영수증 첨부시에도 지출항복별로 각각 구분한 후, 일자 순대로 첨부                                                                                                             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&lt;작성 예사&gt;
</a:t>
          </a:r>
        </a:p>
      </xdr:txBody>
    </xdr:sp>
    <xdr:clientData/>
  </xdr:twoCellAnchor>
  <xdr:twoCellAnchor editAs="oneCell">
    <xdr:from>
      <xdr:col>10</xdr:col>
      <xdr:colOff>508000</xdr:colOff>
      <xdr:row>30</xdr:row>
      <xdr:rowOff>18145</xdr:rowOff>
    </xdr:from>
    <xdr:to>
      <xdr:col>21</xdr:col>
      <xdr:colOff>326571</xdr:colOff>
      <xdr:row>40</xdr:row>
      <xdr:rowOff>17398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3714" y="8463645"/>
          <a:ext cx="7402286" cy="290211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470535</xdr:colOff>
      <xdr:row>24</xdr:row>
      <xdr:rowOff>248376</xdr:rowOff>
    </xdr:from>
    <xdr:to>
      <xdr:col>21</xdr:col>
      <xdr:colOff>457200</xdr:colOff>
      <xdr:row>27</xdr:row>
      <xdr:rowOff>185553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>
        <a:xfrm>
          <a:off x="8817899" y="7037103"/>
          <a:ext cx="7606665" cy="820405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10</xdr:col>
      <xdr:colOff>574743</xdr:colOff>
      <xdr:row>31</xdr:row>
      <xdr:rowOff>77431</xdr:rowOff>
    </xdr:from>
    <xdr:to>
      <xdr:col>12</xdr:col>
      <xdr:colOff>292579</xdr:colOff>
      <xdr:row>40</xdr:row>
      <xdr:rowOff>62116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/>
        </xdr:cNvSpPr>
      </xdr:nvSpPr>
      <xdr:spPr>
        <a:xfrm>
          <a:off x="8920457" y="8813217"/>
          <a:ext cx="1096693" cy="2597256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10</xdr:col>
      <xdr:colOff>533398</xdr:colOff>
      <xdr:row>3</xdr:row>
      <xdr:rowOff>141514</xdr:rowOff>
    </xdr:from>
    <xdr:to>
      <xdr:col>21</xdr:col>
      <xdr:colOff>457200</xdr:colOff>
      <xdr:row>24</xdr:row>
      <xdr:rowOff>206830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1543" y="806532"/>
          <a:ext cx="7543802" cy="585651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470535</xdr:colOff>
      <xdr:row>1</xdr:row>
      <xdr:rowOff>358775</xdr:rowOff>
    </xdr:from>
    <xdr:to>
      <xdr:col>27</xdr:col>
      <xdr:colOff>89535</xdr:colOff>
      <xdr:row>26</xdr:row>
      <xdr:rowOff>108857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/>
        </xdr:cNvSpPr>
      </xdr:nvSpPr>
      <xdr:spPr>
        <a:xfrm>
          <a:off x="10452735" y="587375"/>
          <a:ext cx="7848600" cy="827359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&lt;작성 예시&gt;
</a:t>
          </a:r>
        </a:p>
      </xdr:txBody>
    </xdr:sp>
    <xdr:clientData/>
  </xdr:twoCellAnchor>
  <xdr:twoCellAnchor editAs="oneCell">
    <xdr:from>
      <xdr:col>1</xdr:col>
      <xdr:colOff>55880</xdr:colOff>
      <xdr:row>0</xdr:row>
      <xdr:rowOff>145415</xdr:rowOff>
    </xdr:from>
    <xdr:to>
      <xdr:col>4</xdr:col>
      <xdr:colOff>560070</xdr:colOff>
      <xdr:row>1</xdr:row>
      <xdr:rowOff>302260</xdr:rowOff>
    </xdr:to>
    <xdr:pic>
      <xdr:nvPicPr>
        <xdr:cNvPr id="4" name="그림 3" descr="xl/media/image1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225" y="132080"/>
          <a:ext cx="1951990" cy="38544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481965</xdr:colOff>
      <xdr:row>3</xdr:row>
      <xdr:rowOff>22225</xdr:rowOff>
    </xdr:from>
    <xdr:to>
      <xdr:col>13</xdr:col>
      <xdr:colOff>924560</xdr:colOff>
      <xdr:row>7</xdr:row>
      <xdr:rowOff>0</xdr:rowOff>
    </xdr:to>
    <xdr:pic>
      <xdr:nvPicPr>
        <xdr:cNvPr id="5" name="그림 4" descr="xl/media/image2.em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80735" y="866140"/>
          <a:ext cx="3795395" cy="1501775"/>
        </a:xfrm>
        <a:prstGeom prst="rect">
          <a:avLst/>
        </a:prstGeom>
        <a:noFill/>
      </xdr:spPr>
    </xdr:pic>
    <xdr:clientData/>
  </xdr:twoCellAnchor>
  <xdr:twoCellAnchor editAs="oneCell">
    <xdr:from>
      <xdr:col>15</xdr:col>
      <xdr:colOff>551180</xdr:colOff>
      <xdr:row>17</xdr:row>
      <xdr:rowOff>149656</xdr:rowOff>
    </xdr:from>
    <xdr:to>
      <xdr:col>27</xdr:col>
      <xdr:colOff>1905</xdr:colOff>
      <xdr:row>25</xdr:row>
      <xdr:rowOff>177800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4123" y="6158570"/>
          <a:ext cx="7680325" cy="2321401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13856</xdr:colOff>
      <xdr:row>2</xdr:row>
      <xdr:rowOff>195943</xdr:rowOff>
    </xdr:from>
    <xdr:to>
      <xdr:col>26</xdr:col>
      <xdr:colOff>581191</xdr:colOff>
      <xdr:row>15</xdr:row>
      <xdr:rowOff>83127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4474" y="819398"/>
          <a:ext cx="7494608" cy="4791693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9</xdr:col>
      <xdr:colOff>478972</xdr:colOff>
      <xdr:row>2</xdr:row>
      <xdr:rowOff>228599</xdr:rowOff>
    </xdr:from>
    <xdr:to>
      <xdr:col>13</xdr:col>
      <xdr:colOff>932400</xdr:colOff>
      <xdr:row>6</xdr:row>
      <xdr:rowOff>32657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10943" y="838199"/>
          <a:ext cx="3806228" cy="11865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470535</xdr:colOff>
      <xdr:row>1</xdr:row>
      <xdr:rowOff>358775</xdr:rowOff>
    </xdr:from>
    <xdr:to>
      <xdr:col>27</xdr:col>
      <xdr:colOff>89535</xdr:colOff>
      <xdr:row>27</xdr:row>
      <xdr:rowOff>254000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/>
        </xdr:cNvSpPr>
      </xdr:nvSpPr>
      <xdr:spPr>
        <a:xfrm>
          <a:off x="10984321" y="567418"/>
          <a:ext cx="7892143" cy="778736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&lt;작성 예시&gt;
</a:t>
          </a:r>
        </a:p>
      </xdr:txBody>
    </xdr:sp>
    <xdr:clientData/>
  </xdr:twoCellAnchor>
  <xdr:twoCellAnchor editAs="oneCell">
    <xdr:from>
      <xdr:col>1</xdr:col>
      <xdr:colOff>55880</xdr:colOff>
      <xdr:row>1</xdr:row>
      <xdr:rowOff>67310</xdr:rowOff>
    </xdr:from>
    <xdr:to>
      <xdr:col>4</xdr:col>
      <xdr:colOff>560070</xdr:colOff>
      <xdr:row>1</xdr:row>
      <xdr:rowOff>436880</xdr:rowOff>
    </xdr:to>
    <xdr:pic>
      <xdr:nvPicPr>
        <xdr:cNvPr id="9" name="그림 8" descr="xl/media/image1.gif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225" y="263525"/>
          <a:ext cx="1951990" cy="369570"/>
        </a:xfrm>
        <a:prstGeom prst="rect">
          <a:avLst/>
        </a:prstGeom>
        <a:noFill/>
      </xdr:spPr>
    </xdr:pic>
    <xdr:clientData/>
  </xdr:twoCellAnchor>
  <xdr:twoCellAnchor editAs="oneCell">
    <xdr:from>
      <xdr:col>15</xdr:col>
      <xdr:colOff>678873</xdr:colOff>
      <xdr:row>2</xdr:row>
      <xdr:rowOff>193964</xdr:rowOff>
    </xdr:from>
    <xdr:to>
      <xdr:col>26</xdr:col>
      <xdr:colOff>575661</xdr:colOff>
      <xdr:row>18</xdr:row>
      <xdr:rowOff>65974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9891" y="900546"/>
          <a:ext cx="7516788" cy="4793672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15</xdr:col>
      <xdr:colOff>566056</xdr:colOff>
      <xdr:row>19</xdr:row>
      <xdr:rowOff>33647</xdr:rowOff>
    </xdr:from>
    <xdr:to>
      <xdr:col>27</xdr:col>
      <xdr:colOff>16781</xdr:colOff>
      <xdr:row>26</xdr:row>
      <xdr:rowOff>268289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8192" y="6112329"/>
          <a:ext cx="7763453" cy="2289733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0</xdr:row>
      <xdr:rowOff>89535</xdr:rowOff>
    </xdr:from>
    <xdr:to>
      <xdr:col>3</xdr:col>
      <xdr:colOff>300243</xdr:colOff>
      <xdr:row>1</xdr:row>
      <xdr:rowOff>280035</xdr:rowOff>
    </xdr:to>
    <xdr:pic>
      <xdr:nvPicPr>
        <xdr:cNvPr id="4" name="그림 3" descr="xl/media/image1.gif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70" y="76200"/>
          <a:ext cx="1939290" cy="3810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55880</xdr:colOff>
      <xdr:row>2</xdr:row>
      <xdr:rowOff>212725</xdr:rowOff>
    </xdr:from>
    <xdr:to>
      <xdr:col>10</xdr:col>
      <xdr:colOff>17967</xdr:colOff>
      <xdr:row>8</xdr:row>
      <xdr:rowOff>132715</xdr:rowOff>
    </xdr:to>
    <xdr:pic>
      <xdr:nvPicPr>
        <xdr:cNvPr id="5" name="그림 4" descr="xl/media/image2.emf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26000" y="694690"/>
          <a:ext cx="3197225" cy="1177290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1336862</xdr:colOff>
      <xdr:row>11</xdr:row>
      <xdr:rowOff>19050</xdr:rowOff>
    </xdr:from>
    <xdr:to>
      <xdr:col>8</xdr:col>
      <xdr:colOff>1010770</xdr:colOff>
      <xdr:row>11</xdr:row>
      <xdr:rowOff>238125</xdr:rowOff>
    </xdr:to>
    <xdr:sp macro="" textlink="">
      <xdr:nvSpPr>
        <xdr:cNvPr id="3075" name="Drop Down 3" hidden="1">
          <a:extLst>
            <a:ext uri="{FF2B5EF4-FFF2-40B4-BE49-F238E27FC236}">
              <a16:creationId xmlns:a16="http://schemas.microsoft.com/office/drawing/2014/main" id="{00000000-0008-0000-0400-0000030C0000}"/>
            </a:ext>
          </a:extLst>
        </xdr:cNvPr>
        <xdr:cNvSpPr>
          <a:spLocks/>
        </xdr:cNvSpPr>
      </xdr:nvSpPr>
      <xdr:spPr>
        <a:xfrm>
          <a:off x="4789170" y="2491740"/>
          <a:ext cx="3276600" cy="219075"/>
        </a:xfrm>
        <a:prstGeom prst="rect">
          <a:avLst/>
        </a:prstGeom>
        <a:noFill/>
        <a:ln w="0" cap="flat" cmpd="sng">
          <a:noFill/>
          <a:prstDash/>
        </a:ln>
      </xdr:spPr>
    </xdr:sp>
    <xdr:clientData/>
  </xdr:twoCellAnchor>
  <xdr:twoCellAnchor>
    <xdr:from>
      <xdr:col>10</xdr:col>
      <xdr:colOff>358775</xdr:colOff>
      <xdr:row>1</xdr:row>
      <xdr:rowOff>291464</xdr:rowOff>
    </xdr:from>
    <xdr:to>
      <xdr:col>21</xdr:col>
      <xdr:colOff>661035</xdr:colOff>
      <xdr:row>42</xdr:row>
      <xdr:rowOff>17928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/>
        </xdr:cNvSpPr>
      </xdr:nvSpPr>
      <xdr:spPr>
        <a:xfrm>
          <a:off x="8597340" y="479723"/>
          <a:ext cx="7895366" cy="1035860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</a:t>
          </a:r>
          <a:r>
            <a:rPr lang="ko-KR" altLang="en-US" sz="1000" b="1" u="sng" kern="1200" cap="none" dirty="0">
              <a:solidFill>
                <a:srgbClr val="000000"/>
              </a:solidFill>
              <a:latin typeface="Calibri"/>
              <a:ea typeface="Calibri"/>
            </a:rPr>
            <a:t> 
  ※ 지출내역서 작성 방법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 : '지출항목'란에 클릭하여 기재할 목록을 선택 후 작성.  </a:t>
          </a:r>
          <a:r>
            <a:rPr lang="ko-KR" altLang="en-US" sz="1300" b="1" u="sng" kern="1200" cap="none" dirty="0">
              <a:solidFill>
                <a:srgbClr val="FF0000"/>
              </a:solidFill>
              <a:latin typeface="Calibri"/>
              <a:ea typeface="Calibri"/>
            </a:rPr>
            <a:t>(반드시 지출항목별로 각각 구분한 후, 일자 순대로 작성)</a:t>
          </a:r>
          <a:r>
            <a:rPr lang="ko-KR" altLang="en-US" sz="1500" b="1" u="sng" kern="1200" cap="none" dirty="0">
              <a:solidFill>
                <a:srgbClr val="FF0000"/>
              </a:solidFill>
              <a:latin typeface="Calibri"/>
              <a:ea typeface="Calibri"/>
            </a:rPr>
            <a:t> 
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→ 법인카드 승인내역서  첨부시  지출항복별로  각각  표시 후 제출 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(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차량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/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출장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)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                                                                                                        
</a:t>
          </a:r>
          <a:r>
            <a:rPr lang="ko-KR" altLang="en-US" sz="1500" b="1" kern="1200" cap="none" dirty="0">
              <a:solidFill>
                <a:srgbClr val="FF0000"/>
              </a:solidFill>
              <a:latin typeface="Calibri"/>
              <a:ea typeface="Calibri"/>
            </a:rPr>
            <a:t> 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&lt;작성 예시&gt;
</a:t>
          </a:r>
        </a:p>
      </xdr:txBody>
    </xdr:sp>
    <xdr:clientData/>
  </xdr:twoCellAnchor>
  <xdr:twoCellAnchor editAs="oneCell">
    <xdr:from>
      <xdr:col>10</xdr:col>
      <xdr:colOff>537884</xdr:colOff>
      <xdr:row>31</xdr:row>
      <xdr:rowOff>116658</xdr:rowOff>
    </xdr:from>
    <xdr:to>
      <xdr:col>21</xdr:col>
      <xdr:colOff>246530</xdr:colOff>
      <xdr:row>40</xdr:row>
      <xdr:rowOff>250892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2766" y="8237187"/>
          <a:ext cx="7268882" cy="2689176"/>
        </a:xfrm>
        <a:prstGeom prst="rect">
          <a:avLst/>
        </a:prstGeom>
        <a:noFill/>
      </xdr:spPr>
    </xdr:pic>
    <xdr:clientData/>
  </xdr:twoCellAnchor>
  <xdr:twoCellAnchor>
    <xdr:from>
      <xdr:col>10</xdr:col>
      <xdr:colOff>551330</xdr:colOff>
      <xdr:row>32</xdr:row>
      <xdr:rowOff>197223</xdr:rowOff>
    </xdr:from>
    <xdr:to>
      <xdr:col>12</xdr:col>
      <xdr:colOff>188260</xdr:colOff>
      <xdr:row>40</xdr:row>
      <xdr:rowOff>268939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/>
        </xdr:cNvSpPr>
      </xdr:nvSpPr>
      <xdr:spPr>
        <a:xfrm>
          <a:off x="8897471" y="8471647"/>
          <a:ext cx="1017495" cy="2294963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10</xdr:col>
      <xdr:colOff>470535</xdr:colOff>
      <xdr:row>26</xdr:row>
      <xdr:rowOff>190428</xdr:rowOff>
    </xdr:from>
    <xdr:to>
      <xdr:col>21</xdr:col>
      <xdr:colOff>261257</xdr:colOff>
      <xdr:row>29</xdr:row>
      <xdr:rowOff>108857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/>
        </xdr:cNvSpPr>
      </xdr:nvSpPr>
      <xdr:spPr>
        <a:xfrm>
          <a:off x="8732792" y="6819828"/>
          <a:ext cx="7334522" cy="767515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69850</xdr:colOff>
          <xdr:row>11</xdr:row>
          <xdr:rowOff>19050</xdr:rowOff>
        </xdr:from>
        <xdr:to>
          <xdr:col>8</xdr:col>
          <xdr:colOff>1060450</xdr:colOff>
          <xdr:row>11</xdr:row>
          <xdr:rowOff>209550</xdr:rowOff>
        </xdr:to>
        <xdr:sp macro="" textlink="">
          <xdr:nvSpPr>
            <xdr:cNvPr id="2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6</xdr:col>
      <xdr:colOff>54430</xdr:colOff>
      <xdr:row>2</xdr:row>
      <xdr:rowOff>76200</xdr:rowOff>
    </xdr:from>
    <xdr:to>
      <xdr:col>10</xdr:col>
      <xdr:colOff>43543</xdr:colOff>
      <xdr:row>6</xdr:row>
      <xdr:rowOff>228600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3630" y="576943"/>
          <a:ext cx="3222170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439579</xdr:colOff>
      <xdr:row>3</xdr:row>
      <xdr:rowOff>130629</xdr:rowOff>
    </xdr:from>
    <xdr:to>
      <xdr:col>21</xdr:col>
      <xdr:colOff>304001</xdr:colOff>
      <xdr:row>26</xdr:row>
      <xdr:rowOff>87088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3887" y="746091"/>
          <a:ext cx="7386729" cy="6106189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45085</xdr:rowOff>
    </xdr:from>
    <xdr:to>
      <xdr:col>3</xdr:col>
      <xdr:colOff>520065</xdr:colOff>
      <xdr:row>1</xdr:row>
      <xdr:rowOff>235585</xdr:rowOff>
    </xdr:to>
    <xdr:pic>
      <xdr:nvPicPr>
        <xdr:cNvPr id="4" name="그림 3" descr="xl/media/image1.gif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345" y="31750"/>
          <a:ext cx="1939290" cy="381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358775</xdr:colOff>
      <xdr:row>1</xdr:row>
      <xdr:rowOff>291465</xdr:rowOff>
    </xdr:from>
    <xdr:to>
      <xdr:col>21</xdr:col>
      <xdr:colOff>661035</xdr:colOff>
      <xdr:row>39</xdr:row>
      <xdr:rowOff>280035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>
          <a:spLocks/>
        </xdr:cNvSpPr>
      </xdr:nvSpPr>
      <xdr:spPr>
        <a:xfrm>
          <a:off x="8567420" y="468630"/>
          <a:ext cx="7846060" cy="1058989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</a:t>
          </a:r>
          <a:r>
            <a:rPr lang="ko-KR" altLang="en-US" sz="1000" b="1" u="sng" kern="1200" cap="none" dirty="0">
              <a:solidFill>
                <a:srgbClr val="000000"/>
              </a:solidFill>
              <a:latin typeface="Calibri"/>
              <a:ea typeface="Calibri"/>
            </a:rPr>
            <a:t> 
</a:t>
          </a:r>
          <a:endParaRPr lang="en-US" altLang="ko-KR" sz="1000" b="1" u="sng" kern="1200" cap="none" dirty="0">
            <a:solidFill>
              <a:srgbClr val="000000"/>
            </a:solidFill>
            <a:latin typeface="Calibri"/>
            <a:ea typeface="Calibri"/>
          </a:endParaRPr>
        </a:p>
        <a:p>
          <a:pPr algn="l">
            <a:buFontTx/>
            <a:buNone/>
          </a:pPr>
          <a:r>
            <a:rPr lang="ko-KR" altLang="en-US" sz="1000" b="1" u="sng" kern="1200" cap="none" dirty="0">
              <a:solidFill>
                <a:srgbClr val="000000"/>
              </a:solidFill>
              <a:latin typeface="Calibri"/>
              <a:ea typeface="Calibri"/>
            </a:rPr>
            <a:t>※ 지출내역서 작성 방법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: '지출항목'란에 클릭하여 기재할 목록을 선택 후 작성.  </a:t>
          </a:r>
          <a:r>
            <a:rPr lang="ko-KR" altLang="en-US" sz="1300" b="1" u="sng" kern="1200" cap="none" dirty="0">
              <a:solidFill>
                <a:srgbClr val="FF0000"/>
              </a:solidFill>
              <a:latin typeface="Calibri"/>
              <a:ea typeface="Calibri"/>
            </a:rPr>
            <a:t>(반드시 지출항목별로 각각 구분한 후, 일자 순대로 작성)</a:t>
          </a:r>
          <a:r>
            <a:rPr lang="ko-KR" altLang="en-US" sz="1500" b="1" u="sng" kern="1200" cap="none" dirty="0">
              <a:solidFill>
                <a:srgbClr val="FF0000"/>
              </a:solidFill>
              <a:latin typeface="Calibri"/>
              <a:ea typeface="Calibri"/>
            </a:rPr>
            <a:t> 
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→ 법인카드승인내역서 첨부시  지출항복별로 각각  표시 후 제출 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(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차량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/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출장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)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                                                                                                        
</a:t>
          </a:r>
          <a:r>
            <a:rPr lang="ko-KR" altLang="en-US" sz="1500" b="1" kern="1200" cap="none" dirty="0">
              <a:solidFill>
                <a:srgbClr val="FF0000"/>
              </a:solidFill>
              <a:latin typeface="Calibri"/>
              <a:ea typeface="Calibri"/>
            </a:rPr>
            <a:t> 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&lt;작성 예시&gt;</a:t>
          </a:r>
        </a:p>
      </xdr:txBody>
    </xdr:sp>
    <xdr:clientData/>
  </xdr:twoCellAnchor>
  <xdr:twoCellAnchor editAs="oneCell">
    <xdr:from>
      <xdr:col>10</xdr:col>
      <xdr:colOff>535214</xdr:colOff>
      <xdr:row>30</xdr:row>
      <xdr:rowOff>94381</xdr:rowOff>
    </xdr:from>
    <xdr:to>
      <xdr:col>21</xdr:col>
      <xdr:colOff>308427</xdr:colOff>
      <xdr:row>39</xdr:row>
      <xdr:rowOff>165594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143" y="8421952"/>
          <a:ext cx="7356927" cy="268378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436880</xdr:colOff>
      <xdr:row>25</xdr:row>
      <xdr:rowOff>172826</xdr:rowOff>
    </xdr:from>
    <xdr:to>
      <xdr:col>21</xdr:col>
      <xdr:colOff>304800</xdr:colOff>
      <xdr:row>28</xdr:row>
      <xdr:rowOff>108857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/>
        </xdr:cNvSpPr>
      </xdr:nvSpPr>
      <xdr:spPr>
        <a:xfrm>
          <a:off x="8666480" y="6911083"/>
          <a:ext cx="7411720" cy="785117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10</xdr:col>
      <xdr:colOff>571465</xdr:colOff>
      <xdr:row>31</xdr:row>
      <xdr:rowOff>125506</xdr:rowOff>
    </xdr:from>
    <xdr:to>
      <xdr:col>12</xdr:col>
      <xdr:colOff>206191</xdr:colOff>
      <xdr:row>39</xdr:row>
      <xdr:rowOff>233082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/>
        </xdr:cNvSpPr>
      </xdr:nvSpPr>
      <xdr:spPr>
        <a:xfrm>
          <a:off x="8810030" y="8408894"/>
          <a:ext cx="1015290" cy="2330823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10</xdr:col>
      <xdr:colOff>478971</xdr:colOff>
      <xdr:row>4</xdr:row>
      <xdr:rowOff>0</xdr:rowOff>
    </xdr:from>
    <xdr:to>
      <xdr:col>21</xdr:col>
      <xdr:colOff>304801</xdr:colOff>
      <xdr:row>25</xdr:row>
      <xdr:rowOff>21773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3262" y="789709"/>
          <a:ext cx="7445830" cy="5840682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45085</xdr:rowOff>
    </xdr:from>
    <xdr:to>
      <xdr:col>3</xdr:col>
      <xdr:colOff>520065</xdr:colOff>
      <xdr:row>1</xdr:row>
      <xdr:rowOff>235585</xdr:rowOff>
    </xdr:to>
    <xdr:pic>
      <xdr:nvPicPr>
        <xdr:cNvPr id="2" name="그림 1" descr="xl/media/image1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45085"/>
          <a:ext cx="1939290" cy="381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358775</xdr:colOff>
      <xdr:row>1</xdr:row>
      <xdr:rowOff>291465</xdr:rowOff>
    </xdr:from>
    <xdr:to>
      <xdr:col>21</xdr:col>
      <xdr:colOff>661035</xdr:colOff>
      <xdr:row>39</xdr:row>
      <xdr:rowOff>280035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/>
        </xdr:cNvSpPr>
      </xdr:nvSpPr>
      <xdr:spPr>
        <a:xfrm>
          <a:off x="8731250" y="453390"/>
          <a:ext cx="7846060" cy="1061847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</a:t>
          </a:r>
          <a:r>
            <a:rPr lang="ko-KR" altLang="en-US" sz="1000" b="1" u="sng" kern="1200" cap="none" dirty="0">
              <a:solidFill>
                <a:srgbClr val="000000"/>
              </a:solidFill>
              <a:latin typeface="Calibri"/>
              <a:ea typeface="Calibri"/>
            </a:rPr>
            <a:t> 
</a:t>
          </a:r>
          <a:endParaRPr lang="en-US" altLang="ko-KR" sz="1000" b="1" u="sng" kern="1200" cap="none" dirty="0">
            <a:solidFill>
              <a:srgbClr val="000000"/>
            </a:solidFill>
            <a:latin typeface="Calibri"/>
            <a:ea typeface="Calibri"/>
          </a:endParaRPr>
        </a:p>
        <a:p>
          <a:pPr algn="l">
            <a:buFontTx/>
            <a:buNone/>
          </a:pPr>
          <a:r>
            <a:rPr lang="ko-KR" altLang="en-US" sz="1000" b="1" u="sng" kern="1200" cap="none" dirty="0">
              <a:solidFill>
                <a:srgbClr val="000000"/>
              </a:solidFill>
              <a:latin typeface="Calibri"/>
              <a:ea typeface="Calibri"/>
            </a:rPr>
            <a:t>※ 지출내역서 작성 방법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: '지출항목'란에 클릭하여 기재할 목록을 선택 후 작성.  </a:t>
          </a:r>
          <a:r>
            <a:rPr lang="ko-KR" altLang="en-US" sz="1300" b="1" u="sng" kern="1200" cap="none" dirty="0">
              <a:solidFill>
                <a:srgbClr val="FF0000"/>
              </a:solidFill>
              <a:latin typeface="Calibri"/>
              <a:ea typeface="Calibri"/>
            </a:rPr>
            <a:t>(반드시 지출항목별로 각각 구분한 후, 일자 순대로 작성)</a:t>
          </a:r>
          <a:r>
            <a:rPr lang="ko-KR" altLang="en-US" sz="1500" b="1" u="sng" kern="1200" cap="none" dirty="0">
              <a:solidFill>
                <a:srgbClr val="FF0000"/>
              </a:solidFill>
              <a:latin typeface="Calibri"/>
              <a:ea typeface="Calibri"/>
            </a:rPr>
            <a:t> 
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→ 법인카드승인내역서 첨부시  지출항복별로 각각  표시 후 제출 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(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차량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/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출장</a:t>
          </a:r>
          <a:r>
            <a:rPr lang="en-US" altLang="ko-KR" sz="1000" b="1" kern="1200" cap="none" dirty="0">
              <a:solidFill>
                <a:srgbClr val="FF0000"/>
              </a:solidFill>
              <a:latin typeface="Calibri"/>
              <a:ea typeface="Calibri"/>
            </a:rPr>
            <a:t>)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                                                                                                           
</a:t>
          </a:r>
          <a:r>
            <a:rPr lang="ko-KR" altLang="en-US" sz="1500" b="1" kern="1200" cap="none" dirty="0">
              <a:solidFill>
                <a:srgbClr val="FF0000"/>
              </a:solidFill>
              <a:latin typeface="Calibri"/>
              <a:ea typeface="Calibri"/>
            </a:rPr>
            <a:t> </a:t>
          </a:r>
          <a:r>
            <a:rPr lang="ko-KR" altLang="en-US" sz="1000" b="1" kern="1200" cap="none" dirty="0">
              <a:solidFill>
                <a:srgbClr val="FF0000"/>
              </a:solidFill>
              <a:latin typeface="Calibri"/>
              <a:ea typeface="Calibri"/>
            </a:rPr>
            <a:t>  
</a:t>
          </a: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  &lt;작성 예시&gt;</a:t>
          </a:r>
        </a:p>
      </xdr:txBody>
    </xdr:sp>
    <xdr:clientData/>
  </xdr:twoCellAnchor>
  <xdr:twoCellAnchor editAs="oneCell">
    <xdr:from>
      <xdr:col>10</xdr:col>
      <xdr:colOff>535214</xdr:colOff>
      <xdr:row>30</xdr:row>
      <xdr:rowOff>94381</xdr:rowOff>
    </xdr:from>
    <xdr:to>
      <xdr:col>21</xdr:col>
      <xdr:colOff>299357</xdr:colOff>
      <xdr:row>39</xdr:row>
      <xdr:rowOff>165594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143" y="8421952"/>
          <a:ext cx="7347857" cy="268378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436880</xdr:colOff>
      <xdr:row>25</xdr:row>
      <xdr:rowOff>172826</xdr:rowOff>
    </xdr:from>
    <xdr:to>
      <xdr:col>21</xdr:col>
      <xdr:colOff>304800</xdr:colOff>
      <xdr:row>28</xdr:row>
      <xdr:rowOff>108857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/>
        </xdr:cNvSpPr>
      </xdr:nvSpPr>
      <xdr:spPr>
        <a:xfrm>
          <a:off x="8809355" y="6964151"/>
          <a:ext cx="7411720" cy="793281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10</xdr:col>
      <xdr:colOff>571465</xdr:colOff>
      <xdr:row>31</xdr:row>
      <xdr:rowOff>125506</xdr:rowOff>
    </xdr:from>
    <xdr:to>
      <xdr:col>12</xdr:col>
      <xdr:colOff>206191</xdr:colOff>
      <xdr:row>39</xdr:row>
      <xdr:rowOff>233082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>
        <a:xfrm>
          <a:off x="8943940" y="8631331"/>
          <a:ext cx="1006326" cy="2393576"/>
        </a:xfrm>
        <a:prstGeom prst="rect">
          <a:avLst/>
        </a:prstGeom>
        <a:noFill/>
        <a:ln w="57150" cap="flat" cmpd="sng">
          <a:solidFill>
            <a:srgbClr val="002060">
              <a:alpha val="10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10</xdr:col>
      <xdr:colOff>478971</xdr:colOff>
      <xdr:row>4</xdr:row>
      <xdr:rowOff>0</xdr:rowOff>
    </xdr:from>
    <xdr:to>
      <xdr:col>21</xdr:col>
      <xdr:colOff>304801</xdr:colOff>
      <xdr:row>25</xdr:row>
      <xdr:rowOff>21773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1446" y="790575"/>
          <a:ext cx="7369630" cy="6022523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</xdr:colOff>
      <xdr:row>0</xdr:row>
      <xdr:rowOff>67310</xdr:rowOff>
    </xdr:from>
    <xdr:to>
      <xdr:col>4</xdr:col>
      <xdr:colOff>570865</xdr:colOff>
      <xdr:row>1</xdr:row>
      <xdr:rowOff>257810</xdr:rowOff>
    </xdr:to>
    <xdr:pic>
      <xdr:nvPicPr>
        <xdr:cNvPr id="4" name="그림 3" descr="xl/media/image1.gif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225" y="53975"/>
          <a:ext cx="1943735" cy="3810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481965</xdr:colOff>
      <xdr:row>3</xdr:row>
      <xdr:rowOff>22225</xdr:rowOff>
    </xdr:from>
    <xdr:to>
      <xdr:col>13</xdr:col>
      <xdr:colOff>924560</xdr:colOff>
      <xdr:row>7</xdr:row>
      <xdr:rowOff>0</xdr:rowOff>
    </xdr:to>
    <xdr:pic>
      <xdr:nvPicPr>
        <xdr:cNvPr id="5" name="그림 4" descr="xl/media/image2.emf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61685" y="770890"/>
          <a:ext cx="3795395" cy="1501775"/>
        </a:xfrm>
        <a:prstGeom prst="rect">
          <a:avLst/>
        </a:prstGeom>
        <a:noFill/>
      </xdr:spPr>
    </xdr:pic>
    <xdr:clientData/>
  </xdr:twoCellAnchor>
  <xdr:twoCellAnchor editAs="absolute">
    <xdr:from>
      <xdr:col>10</xdr:col>
      <xdr:colOff>390525</xdr:colOff>
      <xdr:row>10</xdr:row>
      <xdr:rowOff>19050</xdr:rowOff>
    </xdr:from>
    <xdr:to>
      <xdr:col>13</xdr:col>
      <xdr:colOff>590550</xdr:colOff>
      <xdr:row>10</xdr:row>
      <xdr:rowOff>342900</xdr:rowOff>
    </xdr:to>
    <xdr:sp macro="" textlink="">
      <xdr:nvSpPr>
        <xdr:cNvPr id="5121" name="Drop Down 1" hidden="1">
          <a:extLst>
            <a:ext uri="{FF2B5EF4-FFF2-40B4-BE49-F238E27FC236}">
              <a16:creationId xmlns:a16="http://schemas.microsoft.com/office/drawing/2014/main" id="{00000000-0008-0000-0700-000001140000}"/>
            </a:ext>
          </a:extLst>
        </xdr:cNvPr>
        <xdr:cNvSpPr>
          <a:spLocks/>
        </xdr:cNvSpPr>
      </xdr:nvSpPr>
      <xdr:spPr>
        <a:xfrm>
          <a:off x="7065645" y="3434715"/>
          <a:ext cx="2714625" cy="323850"/>
        </a:xfrm>
        <a:prstGeom prst="rect">
          <a:avLst/>
        </a:prstGeom>
        <a:noFill/>
        <a:ln w="0" cap="flat" cmpd="sng">
          <a:noFill/>
          <a:prstDash/>
        </a:ln>
      </xdr:spPr>
    </xdr:sp>
    <xdr:clientData/>
  </xdr:twoCellAnchor>
  <xdr:twoCellAnchor>
    <xdr:from>
      <xdr:col>15</xdr:col>
      <xdr:colOff>470535</xdr:colOff>
      <xdr:row>1</xdr:row>
      <xdr:rowOff>320675</xdr:rowOff>
    </xdr:from>
    <xdr:to>
      <xdr:col>27</xdr:col>
      <xdr:colOff>89535</xdr:colOff>
      <xdr:row>26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/>
        </xdr:cNvSpPr>
      </xdr:nvSpPr>
      <xdr:spPr>
        <a:xfrm>
          <a:off x="10862123" y="514910"/>
          <a:ext cx="7866530" cy="795673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&lt;작성 예시&gt;
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19050</xdr:colOff>
          <xdr:row>10</xdr:row>
          <xdr:rowOff>31750</xdr:rowOff>
        </xdr:from>
        <xdr:to>
          <xdr:col>13</xdr:col>
          <xdr:colOff>1060450</xdr:colOff>
          <xdr:row>10</xdr:row>
          <xdr:rowOff>355600</xdr:rowOff>
        </xdr:to>
        <xdr:sp macro="" textlink="">
          <xdr:nvSpPr>
            <xdr:cNvPr id="2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7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478971</xdr:colOff>
      <xdr:row>3</xdr:row>
      <xdr:rowOff>0</xdr:rowOff>
    </xdr:from>
    <xdr:to>
      <xdr:col>13</xdr:col>
      <xdr:colOff>957942</xdr:colOff>
      <xdr:row>6</xdr:row>
      <xdr:rowOff>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9171" y="751114"/>
          <a:ext cx="3831771" cy="1143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623455</xdr:colOff>
      <xdr:row>3</xdr:row>
      <xdr:rowOff>24742</xdr:rowOff>
    </xdr:from>
    <xdr:to>
      <xdr:col>26</xdr:col>
      <xdr:colOff>630401</xdr:colOff>
      <xdr:row>15</xdr:row>
      <xdr:rowOff>83129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5928" y="786742"/>
          <a:ext cx="7626946" cy="4713514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15</xdr:col>
      <xdr:colOff>579754</xdr:colOff>
      <xdr:row>16</xdr:row>
      <xdr:rowOff>244112</xdr:rowOff>
    </xdr:from>
    <xdr:to>
      <xdr:col>27</xdr:col>
      <xdr:colOff>30479</xdr:colOff>
      <xdr:row>25</xdr:row>
      <xdr:rowOff>10999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7383" y="5861141"/>
          <a:ext cx="7680325" cy="2321401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</xdr:colOff>
      <xdr:row>0</xdr:row>
      <xdr:rowOff>123190</xdr:rowOff>
    </xdr:from>
    <xdr:to>
      <xdr:col>4</xdr:col>
      <xdr:colOff>570865</xdr:colOff>
      <xdr:row>1</xdr:row>
      <xdr:rowOff>313690</xdr:rowOff>
    </xdr:to>
    <xdr:pic>
      <xdr:nvPicPr>
        <xdr:cNvPr id="4" name="그림 3" descr="xl/media/image1.gif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225" y="109855"/>
          <a:ext cx="1943735" cy="38100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470535</xdr:colOff>
      <xdr:row>1</xdr:row>
      <xdr:rowOff>358775</xdr:rowOff>
    </xdr:from>
    <xdr:to>
      <xdr:col>27</xdr:col>
      <xdr:colOff>89535</xdr:colOff>
      <xdr:row>27</xdr:row>
      <xdr:rowOff>276412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/>
        </xdr:cNvSpPr>
      </xdr:nvSpPr>
      <xdr:spPr>
        <a:xfrm>
          <a:off x="11063829" y="553010"/>
          <a:ext cx="7866530" cy="755257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wrap="square" lIns="91440" tIns="45720" rIns="91440" bIns="45720" anchor="t">
          <a:noAutofit/>
        </a:bodyPr>
        <a:lstStyle/>
        <a:p>
          <a:pPr algn="l">
            <a:buFontTx/>
            <a:buNone/>
          </a:pPr>
          <a:r>
            <a:rPr lang="ko-KR" altLang="en-US" sz="1000" b="1" kern="1200" cap="none" dirty="0">
              <a:solidFill>
                <a:srgbClr val="000000"/>
              </a:solidFill>
              <a:latin typeface="Calibri"/>
              <a:ea typeface="Calibri"/>
            </a:rPr>
            <a:t>#  지급 규정
&lt;작성 예시&gt;
</a:t>
          </a:r>
        </a:p>
      </xdr:txBody>
    </xdr:sp>
    <xdr:clientData/>
  </xdr:twoCellAnchor>
  <xdr:twoCellAnchor editAs="oneCell">
    <xdr:from>
      <xdr:col>15</xdr:col>
      <xdr:colOff>637309</xdr:colOff>
      <xdr:row>2</xdr:row>
      <xdr:rowOff>204849</xdr:rowOff>
    </xdr:from>
    <xdr:to>
      <xdr:col>26</xdr:col>
      <xdr:colOff>561129</xdr:colOff>
      <xdr:row>18</xdr:row>
      <xdr:rowOff>224137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0" y="786740"/>
          <a:ext cx="7543820" cy="4793673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15</xdr:col>
      <xdr:colOff>578667</xdr:colOff>
      <xdr:row>18</xdr:row>
      <xdr:rowOff>237400</xdr:rowOff>
    </xdr:from>
    <xdr:to>
      <xdr:col>27</xdr:col>
      <xdr:colOff>29392</xdr:colOff>
      <xdr:row>26</xdr:row>
      <xdr:rowOff>272374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010" y="5919743"/>
          <a:ext cx="7680325" cy="232140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A1:Y51"/>
  <sheetViews>
    <sheetView showGridLines="0" zoomScale="70" zoomScaleNormal="70" workbookViewId="0">
      <selection activeCell="H22" sqref="H22"/>
    </sheetView>
  </sheetViews>
  <sheetFormatPr defaultColWidth="9" defaultRowHeight="30" customHeight="1"/>
  <cols>
    <col min="1" max="1" width="1.5" style="1" customWidth="1"/>
    <col min="2" max="2" width="18.75" style="1" customWidth="1"/>
    <col min="3" max="3" width="3.25" style="1" customWidth="1"/>
    <col min="4" max="4" width="17.25" style="1" customWidth="1"/>
    <col min="5" max="5" width="11.5" style="1" customWidth="1"/>
    <col min="6" max="6" width="7.25" style="1" customWidth="1"/>
    <col min="7" max="7" width="17.5" style="1" customWidth="1"/>
    <col min="8" max="8" width="22.83203125" style="1" customWidth="1"/>
    <col min="9" max="9" width="14.08203125" style="1" customWidth="1"/>
    <col min="10" max="10" width="1.5" style="1" customWidth="1"/>
    <col min="11" max="11" width="9" style="1" customWidth="1"/>
    <col min="12" max="24" width="9" style="1"/>
    <col min="25" max="25" width="9" style="62"/>
    <col min="26" max="16384" width="9" style="1"/>
  </cols>
  <sheetData>
    <row r="1" spans="2:25" ht="16.5" customHeight="1"/>
    <row r="2" spans="2:25" ht="30" customHeight="1">
      <c r="I2" s="2" t="s">
        <v>38</v>
      </c>
    </row>
    <row r="3" spans="2:25" ht="6.75" customHeight="1">
      <c r="B3" s="151"/>
      <c r="C3" s="151"/>
      <c r="D3" s="151"/>
      <c r="E3" s="151"/>
      <c r="F3" s="151"/>
      <c r="G3" s="151"/>
      <c r="H3" s="151"/>
      <c r="I3" s="151"/>
    </row>
    <row r="4" spans="2:25" s="4" customFormat="1" ht="19.5" customHeight="1">
      <c r="B4" s="164" t="s">
        <v>467</v>
      </c>
      <c r="C4" s="165" t="s">
        <v>34</v>
      </c>
      <c r="D4" s="165"/>
      <c r="E4" s="165"/>
      <c r="F4" s="165"/>
      <c r="G4" s="3"/>
      <c r="H4" s="3"/>
      <c r="I4" s="3"/>
      <c r="Y4" s="120"/>
    </row>
    <row r="5" spans="2:25" s="4" customFormat="1" ht="19.5" customHeight="1">
      <c r="B5" s="164"/>
      <c r="C5" s="165"/>
      <c r="D5" s="165"/>
      <c r="E5" s="165"/>
      <c r="F5" s="165"/>
      <c r="G5" s="5"/>
      <c r="H5" s="5"/>
      <c r="I5" s="5"/>
      <c r="Y5" s="120"/>
    </row>
    <row r="6" spans="2:25" s="4" customFormat="1" ht="19.5" customHeight="1">
      <c r="B6" s="166" t="s">
        <v>497</v>
      </c>
      <c r="C6" s="165"/>
      <c r="D6" s="165"/>
      <c r="E6" s="165"/>
      <c r="F6" s="165"/>
      <c r="G6" s="6"/>
      <c r="H6" s="7"/>
      <c r="I6" s="6"/>
      <c r="Y6" s="120"/>
    </row>
    <row r="7" spans="2:25" s="4" customFormat="1" ht="19.5" customHeight="1">
      <c r="B7" s="166"/>
      <c r="C7" s="165"/>
      <c r="D7" s="165"/>
      <c r="E7" s="165"/>
      <c r="F7" s="165"/>
      <c r="G7" s="6"/>
      <c r="H7" s="7"/>
      <c r="I7" s="6"/>
      <c r="Y7" s="121" t="s">
        <v>219</v>
      </c>
    </row>
    <row r="8" spans="2:25" s="4" customFormat="1" ht="15" customHeight="1">
      <c r="B8" s="8"/>
      <c r="C8" s="8"/>
      <c r="D8" s="8"/>
      <c r="E8" s="8"/>
      <c r="F8" s="8"/>
      <c r="G8" s="6"/>
      <c r="H8" s="7"/>
      <c r="I8" s="6"/>
      <c r="Y8" s="121" t="s">
        <v>220</v>
      </c>
    </row>
    <row r="9" spans="2:25" s="4" customFormat="1" ht="19.5" customHeight="1" thickBot="1">
      <c r="B9" s="9" t="s">
        <v>14</v>
      </c>
      <c r="C9" s="6"/>
      <c r="D9" s="6"/>
      <c r="E9" s="7"/>
      <c r="F9" s="10"/>
      <c r="G9" s="10"/>
      <c r="H9" s="11"/>
      <c r="I9" s="12"/>
      <c r="Y9" s="121" t="s">
        <v>221</v>
      </c>
    </row>
    <row r="10" spans="2:25" s="14" customFormat="1" ht="19.5" customHeight="1">
      <c r="B10" s="13" t="s">
        <v>9</v>
      </c>
      <c r="C10" s="167" t="s">
        <v>509</v>
      </c>
      <c r="D10" s="167"/>
      <c r="E10" s="168"/>
      <c r="F10" s="169" t="s">
        <v>12</v>
      </c>
      <c r="G10" s="170"/>
      <c r="H10" s="175">
        <f>SUM(B15:I15)</f>
        <v>80000</v>
      </c>
      <c r="I10" s="176"/>
      <c r="Y10" s="121" t="s">
        <v>222</v>
      </c>
    </row>
    <row r="11" spans="2:25" s="14" customFormat="1" ht="19.5" customHeight="1">
      <c r="B11" s="15" t="s">
        <v>218</v>
      </c>
      <c r="C11" s="181" t="s">
        <v>507</v>
      </c>
      <c r="D11" s="181"/>
      <c r="E11" s="182"/>
      <c r="F11" s="171"/>
      <c r="G11" s="172"/>
      <c r="H11" s="177"/>
      <c r="I11" s="178"/>
      <c r="Y11" s="121" t="s">
        <v>225</v>
      </c>
    </row>
    <row r="12" spans="2:25" s="14" customFormat="1" ht="19.5" customHeight="1" thickBot="1">
      <c r="B12" s="16" t="s">
        <v>13</v>
      </c>
      <c r="C12" s="183" t="s">
        <v>508</v>
      </c>
      <c r="D12" s="183"/>
      <c r="E12" s="184"/>
      <c r="F12" s="173"/>
      <c r="G12" s="174"/>
      <c r="H12" s="179"/>
      <c r="I12" s="180"/>
      <c r="Y12" s="121" t="s">
        <v>224</v>
      </c>
    </row>
    <row r="13" spans="2:25" ht="19.5" customHeight="1">
      <c r="B13" s="17" t="s">
        <v>5</v>
      </c>
      <c r="C13" s="17"/>
      <c r="D13" s="17"/>
      <c r="E13" s="17"/>
      <c r="F13" s="17"/>
      <c r="G13" s="17"/>
      <c r="H13" s="18"/>
      <c r="I13" s="17"/>
      <c r="Y13" s="121" t="s">
        <v>223</v>
      </c>
    </row>
    <row r="14" spans="2:25" ht="32.5" thickBot="1">
      <c r="B14" s="19" t="s">
        <v>6</v>
      </c>
      <c r="C14" s="155" t="s">
        <v>53</v>
      </c>
      <c r="D14" s="156"/>
      <c r="E14" s="155" t="s">
        <v>46</v>
      </c>
      <c r="F14" s="156"/>
      <c r="G14" s="19" t="s">
        <v>47</v>
      </c>
      <c r="H14" s="19" t="s">
        <v>48</v>
      </c>
      <c r="I14" s="19" t="s">
        <v>33</v>
      </c>
    </row>
    <row r="15" spans="2:25" ht="31.5" customHeight="1" thickTop="1">
      <c r="B15" s="78">
        <f>SUMIF($B$18:$B$41,B$14,$I$18:$I$41)+SUMIF('지출(개인)-1'!$B$5:$B$40,'지출(개인)'!B$14,'지출(개인)-1'!$I$5:$I$40)</f>
        <v>80000</v>
      </c>
      <c r="C15" s="157">
        <f>SUMIF($B$18:$B$41,"야근식대",$I$18:$I$41)+SUMIF('지출(개인)-1'!$B$5:$B$40,"야근식대",'지출(개인)-1'!$I$5:$I$40)+SUMIF($B$18:$B$41,"휴일식대",$I$18:$I$41)+SUMIF('지출(개인)-1'!$B$5:$B$40,"휴일식대",'지출(개인)-1'!$I$5:$I$40)</f>
        <v>0</v>
      </c>
      <c r="D15" s="158"/>
      <c r="E15" s="157">
        <f>SUMIF($B$18:$B$41,"접대비",$I$18:$I$41)+SUMIF('지출(개인)-1'!$B$5:$B$40,"접대비",'지출(개인)-1'!$I$5:$I$40)</f>
        <v>0</v>
      </c>
      <c r="F15" s="158"/>
      <c r="G15" s="78">
        <f>SUMIF($B$18:$B$41,G$14,$I$18:$I$41)+SUMIF('지출(개인)-1'!$B$5:$B$40,'지출(개인)'!G$14,'지출(개인)-1'!$I$5:$I$40)</f>
        <v>0</v>
      </c>
      <c r="H15" s="78">
        <f>SUMIF($B$18:$B$41,"회의식대",$I$18:$I$41)+SUMIF('지출(개인)-1'!$B$5:$B$40,"회의식대",'지출(개인)-1'!$I$5:$I$40)</f>
        <v>0</v>
      </c>
      <c r="I15" s="78">
        <f>SUMIF($B$18:$B$41,"우편물 발송",$I$18:$I$41)+SUMIF($B$18:$B$41,"택배비",I18:I41)+SUMIF($B$18:$B$41,"소모품비",$I$18:$I$41)+SUMIF($B$18:$B$41,"도서인쇄비",$I$18:$I$41)+SUMIF($B$18:$B$41,"지급수수료",$I$18:$I$41)+SUMIF($B$18:$B$41,"기타(지출증빙)",$I$18:$I$41)+SUMIF('지출(개인)-1'!$B$5:$B$40,"우편물 발송",'지출(개인)-1'!$I$5:$I$40)+SUMIF('지출(개인)-1'!$B$5:$B$40,"택배비",'지출(개인)-1'!$I$5:$I$40)+SUMIF('지출(개인)-1'!$B$5:$B$40,"소모품비",'지출(개인)-1'!$I$5:$I$40)+SUMIF('지출(개인)-1'!$B$5:$B$40,"도서인쇄비",'지출(개인)-1'!$I$5:$I$40)+SUMIF('지출(개인)-1'!$B$5:$B$40,"지급수수료",'지출(개인)-1'!$I$5:$I$40)+SUMIF('지출(개인)-1'!$B$5:$B$40,"기타(지출증빙)",'지출(개인)-1'!$I$5:$I$40)</f>
        <v>0</v>
      </c>
    </row>
    <row r="16" spans="2:25" ht="19.5" customHeight="1">
      <c r="B16" s="20" t="s">
        <v>11</v>
      </c>
      <c r="C16" s="21"/>
      <c r="D16" s="21"/>
      <c r="E16" s="22"/>
      <c r="F16" s="162" t="s">
        <v>63</v>
      </c>
      <c r="G16" s="162"/>
      <c r="H16" s="162"/>
      <c r="I16" s="162"/>
    </row>
    <row r="17" spans="2:25" ht="23.25" customHeight="1">
      <c r="B17" s="94" t="s">
        <v>1</v>
      </c>
      <c r="C17" s="93" t="s">
        <v>2</v>
      </c>
      <c r="D17" s="95" t="s">
        <v>7</v>
      </c>
      <c r="E17" s="159" t="s">
        <v>3</v>
      </c>
      <c r="F17" s="160"/>
      <c r="G17" s="161"/>
      <c r="H17" s="112" t="s">
        <v>8</v>
      </c>
      <c r="I17" s="94" t="s">
        <v>4</v>
      </c>
      <c r="Y17" s="122"/>
    </row>
    <row r="18" spans="2:25" ht="22.5" customHeight="1">
      <c r="B18" s="88" t="s">
        <v>6</v>
      </c>
      <c r="C18" s="88"/>
      <c r="D18" s="88"/>
      <c r="E18" s="152" t="s">
        <v>56</v>
      </c>
      <c r="F18" s="153"/>
      <c r="G18" s="154"/>
      <c r="H18" s="125"/>
      <c r="I18" s="81">
        <v>80000</v>
      </c>
    </row>
    <row r="19" spans="2:25" ht="22.5" customHeight="1">
      <c r="B19" s="86"/>
      <c r="C19" s="86"/>
      <c r="D19" s="86"/>
      <c r="E19" s="148"/>
      <c r="F19" s="149"/>
      <c r="G19" s="150"/>
      <c r="H19" s="110"/>
      <c r="I19" s="81"/>
    </row>
    <row r="20" spans="2:25" ht="22.5" customHeight="1">
      <c r="B20" s="86"/>
      <c r="C20" s="86"/>
      <c r="D20" s="86"/>
      <c r="E20" s="148"/>
      <c r="F20" s="149"/>
      <c r="G20" s="150"/>
      <c r="H20" s="110"/>
      <c r="I20" s="81"/>
    </row>
    <row r="21" spans="2:25" ht="22.5" customHeight="1">
      <c r="B21" s="86"/>
      <c r="C21" s="86"/>
      <c r="D21" s="86"/>
      <c r="E21" s="148"/>
      <c r="F21" s="149"/>
      <c r="G21" s="150"/>
      <c r="H21" s="110"/>
      <c r="I21" s="35"/>
    </row>
    <row r="22" spans="2:25" ht="22.5" customHeight="1">
      <c r="B22" s="86"/>
      <c r="C22" s="86"/>
      <c r="D22" s="86"/>
      <c r="E22" s="148"/>
      <c r="F22" s="149"/>
      <c r="G22" s="150"/>
      <c r="H22" s="110"/>
      <c r="I22" s="35"/>
    </row>
    <row r="23" spans="2:25" ht="22.5" customHeight="1">
      <c r="B23" s="86"/>
      <c r="C23" s="86"/>
      <c r="D23" s="86"/>
      <c r="E23" s="148"/>
      <c r="F23" s="149"/>
      <c r="G23" s="150"/>
      <c r="H23" s="110"/>
      <c r="I23" s="35"/>
    </row>
    <row r="24" spans="2:25" ht="22.5" customHeight="1">
      <c r="B24" s="86"/>
      <c r="C24" s="86"/>
      <c r="D24" s="86"/>
      <c r="E24" s="148"/>
      <c r="F24" s="149"/>
      <c r="G24" s="150"/>
      <c r="H24" s="110"/>
      <c r="I24" s="35"/>
      <c r="L24" s="25"/>
    </row>
    <row r="25" spans="2:25" ht="22.5" customHeight="1">
      <c r="B25" s="86"/>
      <c r="C25" s="86"/>
      <c r="D25" s="86"/>
      <c r="E25" s="148"/>
      <c r="F25" s="149"/>
      <c r="G25" s="150"/>
      <c r="H25" s="110"/>
      <c r="I25" s="35"/>
    </row>
    <row r="26" spans="2:25" ht="22.5" customHeight="1">
      <c r="B26" s="86"/>
      <c r="C26" s="86"/>
      <c r="D26" s="86"/>
      <c r="E26" s="148"/>
      <c r="F26" s="149"/>
      <c r="G26" s="150"/>
      <c r="H26" s="110"/>
      <c r="I26" s="35"/>
    </row>
    <row r="27" spans="2:25" ht="22.5" customHeight="1">
      <c r="B27" s="86"/>
      <c r="C27" s="86"/>
      <c r="D27" s="86"/>
      <c r="E27" s="148"/>
      <c r="F27" s="149"/>
      <c r="G27" s="150"/>
      <c r="H27" s="110"/>
      <c r="I27" s="35"/>
      <c r="L27" s="14"/>
    </row>
    <row r="28" spans="2:25" ht="22.5" customHeight="1">
      <c r="B28" s="86"/>
      <c r="C28" s="86"/>
      <c r="D28" s="86"/>
      <c r="E28" s="148"/>
      <c r="F28" s="149"/>
      <c r="G28" s="150"/>
      <c r="H28" s="110"/>
      <c r="I28" s="35"/>
    </row>
    <row r="29" spans="2:25" ht="22.5" customHeight="1">
      <c r="B29" s="86"/>
      <c r="C29" s="86"/>
      <c r="D29" s="86"/>
      <c r="E29" s="148"/>
      <c r="F29" s="149"/>
      <c r="G29" s="150"/>
      <c r="H29" s="110"/>
      <c r="I29" s="35"/>
    </row>
    <row r="30" spans="2:25" ht="22.5" customHeight="1">
      <c r="B30" s="86"/>
      <c r="C30" s="86"/>
      <c r="D30" s="86"/>
      <c r="E30" s="148"/>
      <c r="F30" s="149"/>
      <c r="G30" s="150"/>
      <c r="H30" s="110"/>
      <c r="I30" s="35"/>
    </row>
    <row r="31" spans="2:25" ht="22.5" customHeight="1">
      <c r="B31" s="86"/>
      <c r="C31" s="86"/>
      <c r="D31" s="86"/>
      <c r="E31" s="148"/>
      <c r="F31" s="149"/>
      <c r="G31" s="150"/>
      <c r="H31" s="110"/>
      <c r="I31" s="35"/>
    </row>
    <row r="32" spans="2:25" ht="22.5" customHeight="1">
      <c r="B32" s="86"/>
      <c r="C32" s="86"/>
      <c r="D32" s="86"/>
      <c r="E32" s="148"/>
      <c r="F32" s="149"/>
      <c r="G32" s="150"/>
      <c r="H32" s="110"/>
      <c r="I32" s="35"/>
      <c r="L32" s="26"/>
      <c r="M32" s="26"/>
      <c r="N32" s="26"/>
      <c r="O32" s="26"/>
      <c r="P32" s="26"/>
      <c r="Q32" s="26"/>
      <c r="R32" s="26"/>
      <c r="S32" s="26"/>
    </row>
    <row r="33" spans="1:25" ht="22.5" customHeight="1">
      <c r="B33" s="86"/>
      <c r="C33" s="86"/>
      <c r="D33" s="86"/>
      <c r="E33" s="148"/>
      <c r="F33" s="149"/>
      <c r="G33" s="150"/>
      <c r="H33" s="110"/>
      <c r="I33" s="79"/>
      <c r="L33" s="26"/>
      <c r="M33" s="26"/>
      <c r="N33" s="26"/>
      <c r="O33" s="26"/>
      <c r="P33" s="26"/>
      <c r="Q33" s="26"/>
      <c r="R33" s="26"/>
      <c r="S33" s="26"/>
    </row>
    <row r="34" spans="1:25" ht="22.5" customHeight="1">
      <c r="B34" s="86"/>
      <c r="C34" s="86"/>
      <c r="D34" s="86"/>
      <c r="E34" s="148"/>
      <c r="F34" s="149"/>
      <c r="G34" s="150"/>
      <c r="H34" s="110"/>
      <c r="I34" s="79"/>
      <c r="L34" s="26"/>
      <c r="M34" s="26"/>
      <c r="N34" s="26"/>
      <c r="O34" s="26"/>
      <c r="P34" s="26"/>
      <c r="Q34" s="26"/>
      <c r="R34" s="26"/>
      <c r="S34" s="26"/>
    </row>
    <row r="35" spans="1:25" ht="22.5" customHeight="1">
      <c r="B35" s="86"/>
      <c r="C35" s="86"/>
      <c r="D35" s="86"/>
      <c r="E35" s="148"/>
      <c r="F35" s="149"/>
      <c r="G35" s="150"/>
      <c r="H35" s="110"/>
      <c r="I35" s="79"/>
    </row>
    <row r="36" spans="1:25" s="26" customFormat="1" ht="22.5" customHeight="1">
      <c r="A36" s="27"/>
      <c r="B36" s="86"/>
      <c r="C36" s="86"/>
      <c r="D36" s="86"/>
      <c r="E36" s="148"/>
      <c r="F36" s="149"/>
      <c r="G36" s="150"/>
      <c r="H36" s="110"/>
      <c r="I36" s="79"/>
      <c r="J36" s="27"/>
      <c r="Y36" s="123"/>
    </row>
    <row r="37" spans="1:25" s="26" customFormat="1" ht="22.5" customHeight="1">
      <c r="B37" s="86"/>
      <c r="C37" s="86"/>
      <c r="D37" s="86"/>
      <c r="E37" s="148"/>
      <c r="F37" s="149"/>
      <c r="G37" s="150"/>
      <c r="H37" s="110"/>
      <c r="I37" s="79"/>
      <c r="Y37" s="123"/>
    </row>
    <row r="38" spans="1:25" s="26" customFormat="1" ht="22.5" customHeight="1">
      <c r="B38" s="86"/>
      <c r="C38" s="86"/>
      <c r="D38" s="86"/>
      <c r="E38" s="148"/>
      <c r="F38" s="149"/>
      <c r="G38" s="150"/>
      <c r="H38" s="110"/>
      <c r="I38" s="79"/>
      <c r="Y38" s="123"/>
    </row>
    <row r="39" spans="1:25" s="26" customFormat="1" ht="22.5" customHeight="1">
      <c r="B39" s="86"/>
      <c r="C39" s="86"/>
      <c r="D39" s="86"/>
      <c r="E39" s="148"/>
      <c r="F39" s="149"/>
      <c r="G39" s="150"/>
      <c r="H39" s="110"/>
      <c r="I39" s="79"/>
      <c r="Y39" s="123"/>
    </row>
    <row r="40" spans="1:25" s="26" customFormat="1" ht="22.5" customHeight="1">
      <c r="B40" s="86"/>
      <c r="C40" s="86"/>
      <c r="D40" s="86"/>
      <c r="E40" s="148"/>
      <c r="F40" s="149"/>
      <c r="G40" s="150"/>
      <c r="H40" s="110"/>
      <c r="I40" s="79"/>
      <c r="Y40" s="123"/>
    </row>
    <row r="41" spans="1:25" s="26" customFormat="1" ht="22.5" customHeight="1">
      <c r="B41" s="87"/>
      <c r="C41" s="87"/>
      <c r="D41" s="87"/>
      <c r="E41" s="148"/>
      <c r="F41" s="149"/>
      <c r="G41" s="150"/>
      <c r="H41" s="111"/>
      <c r="I41" s="80"/>
      <c r="Y41" s="123"/>
    </row>
    <row r="42" spans="1:25" s="26" customFormat="1" ht="9.75" customHeight="1" thickBot="1">
      <c r="B42" s="28"/>
      <c r="C42" s="28"/>
      <c r="D42" s="28"/>
      <c r="E42" s="28"/>
      <c r="F42" s="29"/>
      <c r="G42" s="77"/>
      <c r="H42" s="29"/>
      <c r="I42" s="30"/>
      <c r="Y42" s="123"/>
    </row>
    <row r="43" spans="1:25" ht="6.75" customHeight="1" thickTop="1">
      <c r="B43" s="151"/>
      <c r="C43" s="151"/>
      <c r="D43" s="151"/>
      <c r="E43" s="151"/>
      <c r="F43" s="151"/>
      <c r="G43" s="151"/>
      <c r="H43" s="151"/>
      <c r="I43" s="151"/>
    </row>
    <row r="44" spans="1:25" ht="16.5" customHeight="1">
      <c r="B44" s="163" t="s">
        <v>57</v>
      </c>
      <c r="C44" s="163"/>
      <c r="D44" s="163"/>
      <c r="E44" s="163"/>
      <c r="F44" s="32"/>
      <c r="G44" s="31"/>
      <c r="H44" s="31"/>
      <c r="I44" s="33" t="s">
        <v>0</v>
      </c>
    </row>
    <row r="45" spans="1:25" ht="17.5">
      <c r="B45" s="31"/>
      <c r="C45" s="31"/>
      <c r="D45" s="31"/>
      <c r="E45" s="31"/>
      <c r="F45" s="32"/>
      <c r="G45" s="31"/>
      <c r="H45" s="31"/>
      <c r="I45" s="32"/>
    </row>
    <row r="46" spans="1:25" ht="30" customHeight="1">
      <c r="B46" s="100"/>
    </row>
    <row r="47" spans="1:25" ht="30" customHeight="1">
      <c r="B47" s="100"/>
    </row>
    <row r="48" spans="1:25" ht="30" customHeight="1">
      <c r="B48" s="100"/>
    </row>
    <row r="49" spans="2:2" ht="30" customHeight="1">
      <c r="B49" s="100"/>
    </row>
    <row r="50" spans="2:2" ht="30" customHeight="1">
      <c r="B50" s="100"/>
    </row>
    <row r="51" spans="2:2" ht="30" customHeight="1">
      <c r="B51" s="100"/>
    </row>
  </sheetData>
  <sheetProtection algorithmName="SHA-512" hashValue="zW1Fo0/hSJGwg/ZTRXblEgotaolJoAjDEbY3RvqlEyJHZBJu1rrxltoKriqlipIgD7hwBM7J2QfVmKOqwchkRA==" saltValue="BTmRd1OLpDKMXdD1k0nUvQ==" spinCount="100000" sheet="1" objects="1" scenarios="1" selectLockedCells="1"/>
  <mergeCells count="41">
    <mergeCell ref="B44:E44"/>
    <mergeCell ref="B3:I3"/>
    <mergeCell ref="B4:B5"/>
    <mergeCell ref="C4:F7"/>
    <mergeCell ref="B6:B7"/>
    <mergeCell ref="C10:E10"/>
    <mergeCell ref="F10:G12"/>
    <mergeCell ref="H10:I12"/>
    <mergeCell ref="C11:E11"/>
    <mergeCell ref="C12:E12"/>
    <mergeCell ref="E28:G28"/>
    <mergeCell ref="E29:G29"/>
    <mergeCell ref="E30:G30"/>
    <mergeCell ref="C14:D14"/>
    <mergeCell ref="C15:D15"/>
    <mergeCell ref="E31:G31"/>
    <mergeCell ref="E32:G32"/>
    <mergeCell ref="E33:G33"/>
    <mergeCell ref="E40:G40"/>
    <mergeCell ref="E14:F14"/>
    <mergeCell ref="E15:F15"/>
    <mergeCell ref="E17:G17"/>
    <mergeCell ref="E34:G34"/>
    <mergeCell ref="E35:G35"/>
    <mergeCell ref="F16:I16"/>
    <mergeCell ref="E41:G41"/>
    <mergeCell ref="B43:I43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37:G37"/>
    <mergeCell ref="E38:G38"/>
    <mergeCell ref="E39:G39"/>
    <mergeCell ref="E36:G36"/>
  </mergeCells>
  <phoneticPr fontId="1" type="noConversion"/>
  <conditionalFormatting sqref="H18:I41 B18:D41">
    <cfRule type="containsBlanks" dxfId="49" priority="3">
      <formula>LEN(TRIM(B18))=0</formula>
    </cfRule>
  </conditionalFormatting>
  <conditionalFormatting sqref="C10:E12">
    <cfRule type="containsBlanks" dxfId="48" priority="2">
      <formula>LEN(TRIM(C10))=0</formula>
    </cfRule>
  </conditionalFormatting>
  <conditionalFormatting sqref="E18:E41">
    <cfRule type="containsBlanks" dxfId="47" priority="1">
      <formula>LEN(TRIM(E18))=0</formula>
    </cfRule>
  </conditionalFormatting>
  <dataValidations count="4">
    <dataValidation type="list" allowBlank="1" showInputMessage="1" showErrorMessage="1" sqref="B6:B7" xr:uid="{00000000-0002-0000-0000-000000000000}">
      <formula1>"1월,2월,3월,4월,5월,6월,7월,8월,9월,10월,11월,12월"</formula1>
    </dataValidation>
    <dataValidation type="list" allowBlank="1" showInputMessage="1" showErrorMessage="1" sqref="B42" xr:uid="{00000000-0002-0000-0000-000001000000}">
      <formula1>"통신비,야근식대,접대비(↓10),접대비(↑10),업무추진비,기타(지출증빙),기타(간이)"</formula1>
    </dataValidation>
    <dataValidation type="list" allowBlank="1" showInputMessage="1" showErrorMessage="1" sqref="B18:B41" xr:uid="{00000000-0002-0000-0000-000002000000}">
      <formula1>"통신비,야근식대,휴일식대,접대비,회식비,회의식대,우편물 발송,택배비,소모품비,도서인쇄비,지급수수료,기타(지출증빙)"</formula1>
    </dataValidation>
    <dataValidation type="list" allowBlank="1" showInputMessage="1" showErrorMessage="1" sqref="C11:E11" xr:uid="{00000000-0002-0000-0000-000003000000}">
      <formula1>$Y$7:$Y$13</formula1>
    </dataValidation>
  </dataValidations>
  <printOptions horizontalCentered="1"/>
  <pageMargins left="0.24" right="0.24" top="0.31" bottom="0.35" header="0.31" footer="0.31"/>
  <pageSetup paperSize="9" scale="7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 tint="0.59996337778862885"/>
    <pageSetUpPr fitToPage="1"/>
  </sheetPr>
  <dimension ref="A1:W44"/>
  <sheetViews>
    <sheetView showGridLines="0" zoomScale="70" zoomScaleNormal="70" workbookViewId="0">
      <selection activeCell="B5" sqref="B5"/>
    </sheetView>
  </sheetViews>
  <sheetFormatPr defaultColWidth="9" defaultRowHeight="30" customHeight="1"/>
  <cols>
    <col min="1" max="1" width="1.5" style="1" customWidth="1"/>
    <col min="2" max="2" width="15.25" style="1" customWidth="1"/>
    <col min="3" max="3" width="3.25" style="1" customWidth="1"/>
    <col min="4" max="4" width="13" style="1" customWidth="1"/>
    <col min="5" max="8" width="15.25" style="1" customWidth="1"/>
    <col min="9" max="9" width="14.08203125" style="1" customWidth="1"/>
    <col min="10" max="10" width="1.5" style="1" customWidth="1"/>
    <col min="11" max="11" width="9" style="1" customWidth="1"/>
    <col min="12" max="16384" width="9" style="1"/>
  </cols>
  <sheetData>
    <row r="1" spans="2:23" ht="15" customHeight="1"/>
    <row r="2" spans="2:23" ht="27" customHeight="1" thickBot="1">
      <c r="E2" s="189" t="s">
        <v>63</v>
      </c>
      <c r="F2" s="189"/>
      <c r="G2" s="189"/>
      <c r="H2" s="189"/>
      <c r="I2" s="2" t="s">
        <v>39</v>
      </c>
    </row>
    <row r="3" spans="2:23" ht="9.75" customHeight="1" thickTop="1">
      <c r="B3" s="151"/>
      <c r="C3" s="151"/>
      <c r="D3" s="151"/>
      <c r="E3" s="151"/>
      <c r="F3" s="151"/>
      <c r="G3" s="151"/>
      <c r="H3" s="151"/>
      <c r="I3" s="151"/>
    </row>
    <row r="4" spans="2:23" s="4" customFormat="1" ht="19.5" customHeight="1">
      <c r="B4" s="94" t="s">
        <v>1</v>
      </c>
      <c r="C4" s="93" t="s">
        <v>2</v>
      </c>
      <c r="D4" s="95" t="s">
        <v>7</v>
      </c>
      <c r="E4" s="159" t="s">
        <v>3</v>
      </c>
      <c r="F4" s="160"/>
      <c r="G4" s="159" t="s">
        <v>8</v>
      </c>
      <c r="H4" s="161"/>
      <c r="I4" s="94" t="s">
        <v>4</v>
      </c>
    </row>
    <row r="5" spans="2:23" s="4" customFormat="1" ht="22.5" customHeight="1">
      <c r="B5" s="88"/>
      <c r="C5" s="88"/>
      <c r="D5" s="88"/>
      <c r="E5" s="191"/>
      <c r="F5" s="192"/>
      <c r="G5" s="191"/>
      <c r="H5" s="193"/>
      <c r="I5" s="81"/>
    </row>
    <row r="6" spans="2:23" s="4" customFormat="1" ht="22.5" customHeight="1">
      <c r="B6" s="88"/>
      <c r="C6" s="88"/>
      <c r="D6" s="88"/>
      <c r="E6" s="148"/>
      <c r="F6" s="150"/>
      <c r="G6" s="148"/>
      <c r="H6" s="150"/>
      <c r="I6" s="81"/>
    </row>
    <row r="7" spans="2:23" s="4" customFormat="1" ht="22.5" customHeight="1">
      <c r="B7" s="88"/>
      <c r="C7" s="88"/>
      <c r="D7" s="88"/>
      <c r="E7" s="148"/>
      <c r="F7" s="150"/>
      <c r="G7" s="148"/>
      <c r="H7" s="150"/>
      <c r="I7" s="81"/>
    </row>
    <row r="8" spans="2:23" s="4" customFormat="1" ht="22.5" customHeight="1">
      <c r="B8" s="86"/>
      <c r="C8" s="86"/>
      <c r="D8" s="86"/>
      <c r="E8" s="188"/>
      <c r="F8" s="188"/>
      <c r="G8" s="188"/>
      <c r="H8" s="188"/>
      <c r="I8" s="81"/>
    </row>
    <row r="9" spans="2:23" s="4" customFormat="1" ht="22.5" customHeight="1">
      <c r="B9" s="86"/>
      <c r="C9" s="86"/>
      <c r="D9" s="86"/>
      <c r="E9" s="188"/>
      <c r="F9" s="188"/>
      <c r="G9" s="188"/>
      <c r="H9" s="188"/>
      <c r="I9" s="81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2:23" s="4" customFormat="1" ht="22.5" customHeight="1">
      <c r="B10" s="86"/>
      <c r="C10" s="86"/>
      <c r="D10" s="86"/>
      <c r="E10" s="188"/>
      <c r="F10" s="188"/>
      <c r="G10" s="188"/>
      <c r="H10" s="188"/>
      <c r="I10" s="81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2:23" s="4" customFormat="1" ht="22.5" customHeight="1">
      <c r="B11" s="86"/>
      <c r="C11" s="86"/>
      <c r="D11" s="86"/>
      <c r="E11" s="188"/>
      <c r="F11" s="188"/>
      <c r="G11" s="188"/>
      <c r="H11" s="188"/>
      <c r="I11" s="81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s="14" customFormat="1" ht="22.5" customHeight="1">
      <c r="B12" s="86"/>
      <c r="C12" s="86"/>
      <c r="D12" s="86"/>
      <c r="E12" s="188"/>
      <c r="F12" s="188"/>
      <c r="G12" s="188"/>
      <c r="H12" s="188"/>
      <c r="I12" s="81"/>
    </row>
    <row r="13" spans="2:23" s="14" customFormat="1" ht="22.5" customHeight="1">
      <c r="B13" s="86"/>
      <c r="C13" s="86"/>
      <c r="D13" s="86"/>
      <c r="E13" s="188"/>
      <c r="F13" s="188"/>
      <c r="G13" s="188"/>
      <c r="H13" s="188"/>
      <c r="I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s="14" customFormat="1" ht="22.5" customHeight="1">
      <c r="B14" s="86"/>
      <c r="C14" s="86"/>
      <c r="D14" s="86"/>
      <c r="E14" s="188"/>
      <c r="F14" s="188"/>
      <c r="G14" s="188"/>
      <c r="H14" s="188"/>
      <c r="I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ht="22.5" customHeight="1">
      <c r="B15" s="86"/>
      <c r="C15" s="86"/>
      <c r="D15" s="86"/>
      <c r="E15" s="188"/>
      <c r="F15" s="188"/>
      <c r="G15" s="188"/>
      <c r="H15" s="188"/>
      <c r="I15" s="35"/>
    </row>
    <row r="16" spans="2:23" ht="22.5" customHeight="1">
      <c r="B16" s="86"/>
      <c r="C16" s="86"/>
      <c r="D16" s="86"/>
      <c r="E16" s="188"/>
      <c r="F16" s="188"/>
      <c r="G16" s="188"/>
      <c r="H16" s="188"/>
      <c r="I16" s="35"/>
    </row>
    <row r="17" spans="2:12" ht="22.5" customHeight="1">
      <c r="B17" s="86"/>
      <c r="C17" s="86"/>
      <c r="D17" s="86"/>
      <c r="E17" s="188"/>
      <c r="F17" s="188"/>
      <c r="G17" s="188"/>
      <c r="H17" s="188"/>
      <c r="I17" s="35"/>
    </row>
    <row r="18" spans="2:12" ht="22.5" customHeight="1">
      <c r="B18" s="86"/>
      <c r="C18" s="86"/>
      <c r="D18" s="86"/>
      <c r="E18" s="188"/>
      <c r="F18" s="188"/>
      <c r="G18" s="188"/>
      <c r="H18" s="188"/>
      <c r="I18" s="35"/>
    </row>
    <row r="19" spans="2:12" ht="22.5" customHeight="1">
      <c r="B19" s="86"/>
      <c r="C19" s="86"/>
      <c r="D19" s="86"/>
      <c r="E19" s="188"/>
      <c r="F19" s="188"/>
      <c r="G19" s="188"/>
      <c r="H19" s="188"/>
      <c r="I19" s="35"/>
    </row>
    <row r="20" spans="2:12" ht="22.5" customHeight="1">
      <c r="B20" s="86"/>
      <c r="C20" s="86"/>
      <c r="D20" s="86"/>
      <c r="E20" s="188"/>
      <c r="F20" s="188"/>
      <c r="G20" s="188"/>
      <c r="H20" s="188"/>
      <c r="I20" s="35"/>
    </row>
    <row r="21" spans="2:12" ht="22.5" customHeight="1">
      <c r="B21" s="86"/>
      <c r="C21" s="86"/>
      <c r="D21" s="86"/>
      <c r="E21" s="188"/>
      <c r="F21" s="188"/>
      <c r="G21" s="188"/>
      <c r="H21" s="188"/>
      <c r="I21" s="35"/>
    </row>
    <row r="22" spans="2:12" ht="22.5" customHeight="1">
      <c r="B22" s="86"/>
      <c r="C22" s="86"/>
      <c r="D22" s="86"/>
      <c r="E22" s="188"/>
      <c r="F22" s="188"/>
      <c r="G22" s="188"/>
      <c r="H22" s="188"/>
      <c r="I22" s="35"/>
    </row>
    <row r="23" spans="2:12" ht="22.5" customHeight="1">
      <c r="B23" s="86"/>
      <c r="C23" s="86"/>
      <c r="D23" s="86"/>
      <c r="E23" s="188"/>
      <c r="F23" s="188"/>
      <c r="G23" s="188"/>
      <c r="H23" s="188"/>
      <c r="I23" s="35"/>
    </row>
    <row r="24" spans="2:12" ht="22.5" customHeight="1">
      <c r="B24" s="86"/>
      <c r="C24" s="86"/>
      <c r="D24" s="86"/>
      <c r="E24" s="188"/>
      <c r="F24" s="188"/>
      <c r="G24" s="188"/>
      <c r="H24" s="188"/>
      <c r="I24" s="35"/>
      <c r="L24" s="25"/>
    </row>
    <row r="25" spans="2:12" ht="22.5" customHeight="1">
      <c r="B25" s="86"/>
      <c r="C25" s="86"/>
      <c r="D25" s="86"/>
      <c r="E25" s="188"/>
      <c r="F25" s="188"/>
      <c r="G25" s="188"/>
      <c r="H25" s="188"/>
      <c r="I25" s="35"/>
    </row>
    <row r="26" spans="2:12" ht="22.5" customHeight="1">
      <c r="B26" s="86"/>
      <c r="C26" s="86"/>
      <c r="D26" s="86"/>
      <c r="E26" s="188"/>
      <c r="F26" s="188"/>
      <c r="G26" s="188"/>
      <c r="H26" s="188"/>
      <c r="I26" s="35"/>
      <c r="L26" s="25"/>
    </row>
    <row r="27" spans="2:12" ht="22.5" customHeight="1">
      <c r="B27" s="86"/>
      <c r="C27" s="86"/>
      <c r="D27" s="86"/>
      <c r="E27" s="188"/>
      <c r="F27" s="188"/>
      <c r="G27" s="188"/>
      <c r="H27" s="188"/>
      <c r="I27" s="35"/>
    </row>
    <row r="28" spans="2:12" ht="22.5" customHeight="1">
      <c r="B28" s="86"/>
      <c r="C28" s="86"/>
      <c r="D28" s="86"/>
      <c r="E28" s="188"/>
      <c r="F28" s="188"/>
      <c r="G28" s="188"/>
      <c r="H28" s="188"/>
      <c r="I28" s="35"/>
      <c r="L28" s="14"/>
    </row>
    <row r="29" spans="2:12" ht="22.5" customHeight="1">
      <c r="B29" s="86"/>
      <c r="C29" s="86"/>
      <c r="D29" s="86"/>
      <c r="E29" s="188"/>
      <c r="F29" s="188"/>
      <c r="G29" s="188"/>
      <c r="H29" s="188"/>
      <c r="I29" s="35"/>
    </row>
    <row r="30" spans="2:12" ht="22.5" customHeight="1">
      <c r="B30" s="86"/>
      <c r="C30" s="86"/>
      <c r="D30" s="86"/>
      <c r="E30" s="188"/>
      <c r="F30" s="188"/>
      <c r="G30" s="188"/>
      <c r="H30" s="188"/>
      <c r="I30" s="35"/>
    </row>
    <row r="31" spans="2:12" ht="22.5" customHeight="1">
      <c r="B31" s="86"/>
      <c r="C31" s="86"/>
      <c r="D31" s="86"/>
      <c r="E31" s="188"/>
      <c r="F31" s="188"/>
      <c r="G31" s="188"/>
      <c r="H31" s="188"/>
      <c r="I31" s="35"/>
    </row>
    <row r="32" spans="2:12" ht="22.5" customHeight="1">
      <c r="B32" s="86"/>
      <c r="C32" s="86"/>
      <c r="D32" s="86"/>
      <c r="E32" s="188"/>
      <c r="F32" s="188"/>
      <c r="G32" s="188"/>
      <c r="H32" s="188"/>
      <c r="I32" s="79"/>
    </row>
    <row r="33" spans="1:23" ht="22.5" customHeight="1">
      <c r="B33" s="86"/>
      <c r="C33" s="86"/>
      <c r="D33" s="86"/>
      <c r="E33" s="188"/>
      <c r="F33" s="188"/>
      <c r="G33" s="188"/>
      <c r="H33" s="188"/>
      <c r="I33" s="79"/>
      <c r="L33" s="26"/>
      <c r="M33" s="26"/>
      <c r="N33" s="26"/>
      <c r="O33" s="26"/>
      <c r="P33" s="26"/>
      <c r="Q33" s="26"/>
      <c r="R33" s="26"/>
      <c r="S33" s="26"/>
    </row>
    <row r="34" spans="1:23" ht="22.5" customHeight="1">
      <c r="B34" s="86"/>
      <c r="C34" s="86"/>
      <c r="D34" s="86"/>
      <c r="E34" s="188"/>
      <c r="F34" s="188"/>
      <c r="G34" s="188"/>
      <c r="H34" s="188"/>
      <c r="I34" s="79"/>
      <c r="L34" s="26"/>
      <c r="M34" s="26"/>
      <c r="N34" s="26"/>
      <c r="O34" s="26"/>
      <c r="P34" s="26"/>
      <c r="Q34" s="26"/>
      <c r="R34" s="26"/>
      <c r="S34" s="26"/>
    </row>
    <row r="35" spans="1:23" ht="22.5" customHeight="1">
      <c r="B35" s="86"/>
      <c r="C35" s="86"/>
      <c r="D35" s="86"/>
      <c r="E35" s="188"/>
      <c r="F35" s="188"/>
      <c r="G35" s="188"/>
      <c r="H35" s="188"/>
      <c r="I35" s="79"/>
      <c r="L35" s="26"/>
      <c r="M35" s="26"/>
      <c r="N35" s="26"/>
      <c r="O35" s="26"/>
      <c r="P35" s="26"/>
      <c r="Q35" s="26"/>
      <c r="R35" s="26"/>
      <c r="S35" s="26"/>
    </row>
    <row r="36" spans="1:23" s="26" customFormat="1" ht="22.5" customHeight="1">
      <c r="A36" s="27"/>
      <c r="B36" s="86"/>
      <c r="C36" s="86"/>
      <c r="D36" s="86"/>
      <c r="E36" s="188"/>
      <c r="F36" s="188"/>
      <c r="G36" s="188"/>
      <c r="H36" s="188"/>
      <c r="I36" s="79"/>
      <c r="J36" s="27"/>
      <c r="K36" s="1"/>
      <c r="T36" s="1"/>
      <c r="U36" s="1"/>
      <c r="V36" s="1"/>
      <c r="W36" s="1"/>
    </row>
    <row r="37" spans="1:23" s="26" customFormat="1" ht="22.5" customHeight="1">
      <c r="B37" s="86"/>
      <c r="C37" s="86"/>
      <c r="D37" s="86"/>
      <c r="E37" s="188"/>
      <c r="F37" s="188"/>
      <c r="G37" s="188"/>
      <c r="H37" s="188"/>
      <c r="I37" s="7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s="26" customFormat="1" ht="22.5" customHeight="1">
      <c r="B38" s="86"/>
      <c r="C38" s="86"/>
      <c r="D38" s="86"/>
      <c r="E38" s="188"/>
      <c r="F38" s="188"/>
      <c r="G38" s="188"/>
      <c r="H38" s="188"/>
      <c r="I38" s="79"/>
    </row>
    <row r="39" spans="1:23" s="26" customFormat="1" ht="22.5" customHeight="1">
      <c r="B39" s="86"/>
      <c r="C39" s="86"/>
      <c r="D39" s="86"/>
      <c r="E39" s="188"/>
      <c r="F39" s="188"/>
      <c r="G39" s="188"/>
      <c r="H39" s="188"/>
      <c r="I39" s="79"/>
    </row>
    <row r="40" spans="1:23" s="26" customFormat="1" ht="22.5" customHeight="1">
      <c r="B40" s="87"/>
      <c r="C40" s="87"/>
      <c r="D40" s="87"/>
      <c r="E40" s="185"/>
      <c r="F40" s="186"/>
      <c r="G40" s="185"/>
      <c r="H40" s="187"/>
      <c r="I40" s="80"/>
    </row>
    <row r="41" spans="1:23" s="26" customFormat="1" ht="9.75" customHeight="1">
      <c r="B41" s="65"/>
      <c r="C41" s="65"/>
      <c r="D41" s="65"/>
      <c r="E41" s="65"/>
      <c r="F41" s="66"/>
      <c r="G41" s="67"/>
      <c r="H41" s="66"/>
      <c r="I41" s="68"/>
    </row>
    <row r="42" spans="1:23" ht="12" customHeight="1" thickTop="1">
      <c r="B42" s="31"/>
      <c r="C42" s="31"/>
      <c r="D42" s="31"/>
      <c r="E42" s="31"/>
      <c r="F42" s="31"/>
      <c r="G42" s="31"/>
      <c r="H42" s="31"/>
      <c r="I42" s="31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1:23" ht="16.5" customHeight="1">
      <c r="B43" s="190" t="s">
        <v>57</v>
      </c>
      <c r="C43" s="190"/>
      <c r="D43" s="190"/>
      <c r="E43" s="190"/>
      <c r="F43" s="190"/>
      <c r="G43" s="31"/>
      <c r="H43" s="31"/>
      <c r="I43" s="33" t="s">
        <v>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1:23" ht="30" customHeight="1"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</sheetData>
  <sheetProtection algorithmName="SHA-512" hashValue="c3WveSnNW/FXVTeT75oU8Puk7dvnKz8uxm/6FOgK/FhXTQMuIouKM5S+O0dsDbHhcWWN9yxKYIqhwzkcCSiaJA==" saltValue="vGfHpzLKOJH4Rgu7hcXLbQ==" spinCount="100000" sheet="1" objects="1" scenarios="1" selectLockedCells="1"/>
  <mergeCells count="77">
    <mergeCell ref="E2:H2"/>
    <mergeCell ref="B43:F43"/>
    <mergeCell ref="B3:I3"/>
    <mergeCell ref="E4:F4"/>
    <mergeCell ref="G4:H4"/>
    <mergeCell ref="E5:F5"/>
    <mergeCell ref="G5:H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9:F39"/>
    <mergeCell ref="G39:H39"/>
    <mergeCell ref="E40:F40"/>
    <mergeCell ref="G40:H40"/>
    <mergeCell ref="E36:F36"/>
    <mergeCell ref="G36:H36"/>
    <mergeCell ref="E37:F37"/>
    <mergeCell ref="G37:H37"/>
    <mergeCell ref="E38:F38"/>
    <mergeCell ref="G38:H38"/>
  </mergeCells>
  <phoneticPr fontId="1" type="noConversion"/>
  <conditionalFormatting sqref="B5:H5 B6:E7 G6:G7 B13:I22 B25:I40 B8:H12">
    <cfRule type="containsBlanks" dxfId="46" priority="10">
      <formula>LEN(TRIM(B5))=0</formula>
    </cfRule>
  </conditionalFormatting>
  <conditionalFormatting sqref="B23:I24">
    <cfRule type="containsBlanks" dxfId="45" priority="9">
      <formula>LEN(TRIM(B23))=0</formula>
    </cfRule>
  </conditionalFormatting>
  <conditionalFormatting sqref="I5">
    <cfRule type="containsBlanks" dxfId="44" priority="8">
      <formula>LEN(TRIM(I5))=0</formula>
    </cfRule>
  </conditionalFormatting>
  <conditionalFormatting sqref="I6">
    <cfRule type="containsBlanks" dxfId="43" priority="7">
      <formula>LEN(TRIM(I6))=0</formula>
    </cfRule>
  </conditionalFormatting>
  <conditionalFormatting sqref="I7">
    <cfRule type="containsBlanks" dxfId="42" priority="6">
      <formula>LEN(TRIM(I7))=0</formula>
    </cfRule>
  </conditionalFormatting>
  <conditionalFormatting sqref="I8">
    <cfRule type="containsBlanks" dxfId="41" priority="5">
      <formula>LEN(TRIM(I8))=0</formula>
    </cfRule>
  </conditionalFormatting>
  <conditionalFormatting sqref="I9">
    <cfRule type="containsBlanks" dxfId="40" priority="4">
      <formula>LEN(TRIM(I9))=0</formula>
    </cfRule>
  </conditionalFormatting>
  <conditionalFormatting sqref="I10">
    <cfRule type="containsBlanks" dxfId="39" priority="3">
      <formula>LEN(TRIM(I10))=0</formula>
    </cfRule>
  </conditionalFormatting>
  <conditionalFormatting sqref="I11">
    <cfRule type="containsBlanks" dxfId="38" priority="2">
      <formula>LEN(TRIM(I11))=0</formula>
    </cfRule>
  </conditionalFormatting>
  <conditionalFormatting sqref="I12">
    <cfRule type="containsBlanks" dxfId="37" priority="1">
      <formula>LEN(TRIM(I12))=0</formula>
    </cfRule>
  </conditionalFormatting>
  <dataValidations count="2">
    <dataValidation type="list" allowBlank="1" showInputMessage="1" showErrorMessage="1" sqref="B41" xr:uid="{00000000-0002-0000-0100-000000000000}">
      <formula1>"통신비,야근식대,접대비(↓10),접대비(↑10),업무추진비,기타(지출증빙),기타(간이)"</formula1>
    </dataValidation>
    <dataValidation type="list" allowBlank="1" showInputMessage="1" showErrorMessage="1" sqref="B5:B40" xr:uid="{00000000-0002-0000-0100-000001000000}">
      <formula1>"통신비,야근식대,휴일식대,접대비,회식비,회의식대,우편물 발송,택배비,소모품비,도서인쇄비,지급수수료,기타(지출증빙)"</formula1>
    </dataValidation>
  </dataValidations>
  <printOptions horizontalCentered="1"/>
  <pageMargins left="0.24" right="0.24" top="0.31" bottom="0.35" header="0.31" footer="0.31"/>
  <pageSetup paperSize="9" scale="8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/>
    <pageSetUpPr fitToPage="1"/>
  </sheetPr>
  <dimension ref="A1:AD52"/>
  <sheetViews>
    <sheetView showGridLines="0" tabSelected="1" topLeftCell="A13" zoomScale="70" zoomScaleNormal="70" workbookViewId="0">
      <selection activeCell="K38" sqref="K38"/>
    </sheetView>
  </sheetViews>
  <sheetFormatPr defaultColWidth="9" defaultRowHeight="30" customHeight="1"/>
  <cols>
    <col min="1" max="1" width="1.5" style="1" customWidth="1"/>
    <col min="2" max="2" width="3" style="1" customWidth="1"/>
    <col min="3" max="3" width="8.83203125" style="1" customWidth="1"/>
    <col min="4" max="4" width="7.08203125" style="1" customWidth="1"/>
    <col min="5" max="5" width="10.83203125" style="1" customWidth="1"/>
    <col min="6" max="6" width="9.5" style="1" customWidth="1"/>
    <col min="7" max="7" width="12.33203125" style="1" customWidth="1"/>
    <col min="8" max="8" width="11.75" style="1" customWidth="1"/>
    <col min="9" max="9" width="12.5" style="1" customWidth="1"/>
    <col min="10" max="13" width="11" style="1" customWidth="1"/>
    <col min="14" max="14" width="14.08203125" style="1" customWidth="1"/>
    <col min="15" max="15" width="1.5" style="1" customWidth="1"/>
    <col min="16" max="16" width="9" style="1" customWidth="1"/>
    <col min="17" max="29" width="9" style="1"/>
    <col min="30" max="30" width="9" style="62"/>
    <col min="31" max="16384" width="9" style="1"/>
  </cols>
  <sheetData>
    <row r="1" spans="2:30" ht="18" customHeight="1"/>
    <row r="2" spans="2:30" ht="30" customHeight="1">
      <c r="B2" s="63"/>
      <c r="K2" s="63"/>
      <c r="L2" s="63"/>
      <c r="M2" s="63"/>
      <c r="N2" s="64" t="s">
        <v>40</v>
      </c>
    </row>
    <row r="3" spans="2:30" ht="19.5" customHeight="1">
      <c r="B3" s="31"/>
      <c r="C3" s="151"/>
      <c r="D3" s="151"/>
      <c r="E3" s="151"/>
      <c r="F3" s="151"/>
      <c r="G3" s="151"/>
      <c r="H3" s="151"/>
      <c r="I3" s="151"/>
      <c r="J3" s="151"/>
      <c r="K3" s="220"/>
      <c r="L3" s="31"/>
      <c r="M3" s="31"/>
      <c r="N3" s="31"/>
    </row>
    <row r="4" spans="2:30" s="4" customFormat="1" ht="30" customHeight="1">
      <c r="B4" s="164" t="s">
        <v>467</v>
      </c>
      <c r="C4" s="164"/>
      <c r="D4" s="221" t="s">
        <v>35</v>
      </c>
      <c r="E4" s="221"/>
      <c r="F4" s="221"/>
      <c r="G4" s="221"/>
      <c r="H4" s="221"/>
      <c r="I4" s="117"/>
      <c r="J4" s="38"/>
      <c r="K4" s="38"/>
      <c r="L4" s="39"/>
      <c r="M4" s="39"/>
      <c r="N4" s="39"/>
      <c r="AD4" s="120"/>
    </row>
    <row r="5" spans="2:30" s="4" customFormat="1" ht="30" customHeight="1">
      <c r="B5" s="164"/>
      <c r="C5" s="164"/>
      <c r="D5" s="221"/>
      <c r="E5" s="221"/>
      <c r="F5" s="221"/>
      <c r="G5" s="221"/>
      <c r="H5" s="221"/>
      <c r="I5" s="117"/>
      <c r="J5" s="38"/>
      <c r="K5" s="38"/>
      <c r="L5" s="40"/>
      <c r="M5" s="40"/>
      <c r="N5" s="40"/>
      <c r="AD5" s="120"/>
    </row>
    <row r="6" spans="2:30" s="4" customFormat="1" ht="30" customHeight="1">
      <c r="B6" s="166" t="s">
        <v>497</v>
      </c>
      <c r="C6" s="166"/>
      <c r="D6" s="221"/>
      <c r="E6" s="221"/>
      <c r="F6" s="221"/>
      <c r="G6" s="221"/>
      <c r="H6" s="221"/>
      <c r="I6" s="117"/>
      <c r="J6" s="38"/>
      <c r="K6" s="38"/>
      <c r="L6" s="41"/>
      <c r="M6" s="42"/>
      <c r="N6" s="41"/>
      <c r="AD6" s="120" t="s">
        <v>227</v>
      </c>
    </row>
    <row r="7" spans="2:30" s="4" customFormat="1" ht="30" customHeight="1">
      <c r="B7" s="166"/>
      <c r="C7" s="166"/>
      <c r="D7" s="221"/>
      <c r="E7" s="221"/>
      <c r="F7" s="221"/>
      <c r="G7" s="221"/>
      <c r="H7" s="221"/>
      <c r="I7" s="117"/>
      <c r="J7" s="38"/>
      <c r="K7" s="38"/>
      <c r="L7" s="41"/>
      <c r="M7" s="42"/>
      <c r="N7" s="41"/>
      <c r="AD7" s="120" t="s">
        <v>228</v>
      </c>
    </row>
    <row r="8" spans="2:30" s="4" customFormat="1" ht="30" customHeight="1">
      <c r="B8" s="43" t="s">
        <v>14</v>
      </c>
      <c r="C8" s="44"/>
      <c r="D8" s="44"/>
      <c r="E8" s="41"/>
      <c r="F8" s="42"/>
      <c r="G8" s="42"/>
      <c r="H8" s="45"/>
      <c r="I8" s="45"/>
      <c r="J8" s="45"/>
      <c r="K8" s="45"/>
      <c r="L8" s="45"/>
      <c r="M8" s="46"/>
      <c r="N8" s="47"/>
      <c r="AD8" s="120" t="s">
        <v>229</v>
      </c>
    </row>
    <row r="9" spans="2:30" s="14" customFormat="1" ht="30" customHeight="1">
      <c r="B9" s="222" t="s">
        <v>9</v>
      </c>
      <c r="C9" s="223"/>
      <c r="D9" s="224"/>
      <c r="E9" s="222" t="str">
        <f>'지출(개인)'!C10</f>
        <v>사업D본부</v>
      </c>
      <c r="F9" s="223"/>
      <c r="G9" s="223"/>
      <c r="H9" s="225" t="s">
        <v>12</v>
      </c>
      <c r="I9" s="226"/>
      <c r="J9" s="226"/>
      <c r="K9" s="227"/>
      <c r="L9" s="204">
        <f>B14+E14</f>
        <v>7500</v>
      </c>
      <c r="M9" s="205"/>
      <c r="N9" s="206"/>
      <c r="AD9" s="62" t="s">
        <v>230</v>
      </c>
    </row>
    <row r="10" spans="2:30" s="14" customFormat="1" ht="30" customHeight="1">
      <c r="B10" s="213" t="s">
        <v>226</v>
      </c>
      <c r="C10" s="214"/>
      <c r="D10" s="215"/>
      <c r="E10" s="213" t="str">
        <f>'지출(개인)'!C11</f>
        <v>P5</v>
      </c>
      <c r="F10" s="214"/>
      <c r="G10" s="214"/>
      <c r="H10" s="228"/>
      <c r="I10" s="229"/>
      <c r="J10" s="229"/>
      <c r="K10" s="230"/>
      <c r="L10" s="207"/>
      <c r="M10" s="208"/>
      <c r="N10" s="209"/>
      <c r="AD10" s="62" t="s">
        <v>231</v>
      </c>
    </row>
    <row r="11" spans="2:30" s="14" customFormat="1" ht="30" customHeight="1">
      <c r="B11" s="216" t="s">
        <v>13</v>
      </c>
      <c r="C11" s="217"/>
      <c r="D11" s="217"/>
      <c r="E11" s="218" t="str">
        <f>'지출(개인)'!C12</f>
        <v>박규남</v>
      </c>
      <c r="F11" s="219"/>
      <c r="G11" s="219"/>
      <c r="H11" s="231"/>
      <c r="I11" s="232"/>
      <c r="J11" s="232"/>
      <c r="K11" s="233"/>
      <c r="L11" s="210"/>
      <c r="M11" s="211"/>
      <c r="N11" s="212"/>
      <c r="AD11" s="62" t="s">
        <v>232</v>
      </c>
    </row>
    <row r="12" spans="2:30" ht="30" customHeight="1">
      <c r="B12" s="48" t="s">
        <v>5</v>
      </c>
      <c r="C12" s="49"/>
      <c r="D12" s="49"/>
      <c r="E12" s="49"/>
      <c r="F12" s="49"/>
      <c r="G12" s="50"/>
      <c r="H12" s="50"/>
      <c r="I12" s="50"/>
      <c r="J12" s="50"/>
      <c r="K12" s="50"/>
      <c r="L12" s="50"/>
      <c r="M12" s="51"/>
      <c r="N12" s="50"/>
      <c r="AD12" s="62" t="s">
        <v>233</v>
      </c>
    </row>
    <row r="13" spans="2:30" ht="30" customHeight="1">
      <c r="B13" s="234" t="s">
        <v>19</v>
      </c>
      <c r="C13" s="234"/>
      <c r="D13" s="234"/>
      <c r="E13" s="234" t="s">
        <v>20</v>
      </c>
      <c r="F13" s="234"/>
      <c r="G13" s="52"/>
      <c r="H13" s="31"/>
      <c r="I13" s="31"/>
      <c r="J13" s="50"/>
      <c r="K13" s="50"/>
      <c r="L13" s="50"/>
      <c r="M13" s="50"/>
      <c r="N13" s="50"/>
    </row>
    <row r="14" spans="2:30" ht="30" customHeight="1">
      <c r="B14" s="235">
        <f>SUM(H41:J41,L41:M41,'여비교통(개인)-1'!H43:J43,'여비교통(개인)-1'!L43:M43)</f>
        <v>7500</v>
      </c>
      <c r="C14" s="236"/>
      <c r="D14" s="237"/>
      <c r="E14" s="235">
        <f>SUM(K41,'여비교통(개인)-1'!K43)</f>
        <v>0</v>
      </c>
      <c r="F14" s="236"/>
      <c r="G14" s="113"/>
      <c r="H14" s="114"/>
      <c r="I14" s="114"/>
      <c r="J14" s="114"/>
      <c r="K14" s="238"/>
      <c r="L14" s="238"/>
      <c r="M14" s="238"/>
      <c r="N14" s="238"/>
      <c r="O14" s="238"/>
    </row>
    <row r="15" spans="2:30" ht="30" customHeight="1">
      <c r="B15" s="53" t="s">
        <v>11</v>
      </c>
      <c r="C15" s="53"/>
      <c r="D15" s="53"/>
      <c r="E15" s="21"/>
      <c r="F15" s="22"/>
      <c r="G15" s="22"/>
      <c r="H15" s="22"/>
      <c r="I15" s="22"/>
      <c r="J15" s="203" t="s">
        <v>64</v>
      </c>
      <c r="K15" s="203"/>
      <c r="L15" s="203"/>
      <c r="M15" s="203"/>
      <c r="N15" s="203"/>
      <c r="O15" s="116"/>
    </row>
    <row r="16" spans="2:30" s="4" customFormat="1" ht="23.25" customHeight="1">
      <c r="B16" s="239" t="s">
        <v>2</v>
      </c>
      <c r="C16" s="241" t="s">
        <v>26</v>
      </c>
      <c r="D16" s="242"/>
      <c r="E16" s="243" t="s">
        <v>23</v>
      </c>
      <c r="F16" s="197" t="s">
        <v>24</v>
      </c>
      <c r="G16" s="198"/>
      <c r="H16" s="159" t="s">
        <v>66</v>
      </c>
      <c r="I16" s="160"/>
      <c r="J16" s="159" t="s">
        <v>69</v>
      </c>
      <c r="K16" s="160"/>
      <c r="L16" s="159" t="s">
        <v>18</v>
      </c>
      <c r="M16" s="161"/>
      <c r="N16" s="201" t="s">
        <v>15</v>
      </c>
      <c r="AD16" s="120"/>
    </row>
    <row r="17" spans="2:30" s="4" customFormat="1" ht="23.25" customHeight="1">
      <c r="B17" s="240"/>
      <c r="C17" s="98" t="s">
        <v>21</v>
      </c>
      <c r="D17" s="98" t="s">
        <v>22</v>
      </c>
      <c r="E17" s="244"/>
      <c r="F17" s="199"/>
      <c r="G17" s="200"/>
      <c r="H17" s="119" t="s">
        <v>67</v>
      </c>
      <c r="I17" s="119" t="s">
        <v>68</v>
      </c>
      <c r="J17" s="95" t="s">
        <v>27</v>
      </c>
      <c r="K17" s="95" t="s">
        <v>28</v>
      </c>
      <c r="L17" s="95" t="s">
        <v>16</v>
      </c>
      <c r="M17" s="95" t="s">
        <v>17</v>
      </c>
      <c r="N17" s="202"/>
      <c r="Q17" s="14" t="s">
        <v>31</v>
      </c>
      <c r="AD17" s="120"/>
    </row>
    <row r="18" spans="2:30" ht="22.5" customHeight="1">
      <c r="B18" s="107">
        <v>2</v>
      </c>
      <c r="C18" s="107" t="s">
        <v>511</v>
      </c>
      <c r="D18" s="107" t="s">
        <v>510</v>
      </c>
      <c r="E18" s="107" t="s">
        <v>512</v>
      </c>
      <c r="F18" s="191" t="s">
        <v>513</v>
      </c>
      <c r="G18" s="193"/>
      <c r="H18" s="96"/>
      <c r="I18" s="96"/>
      <c r="J18" s="81"/>
      <c r="K18" s="81"/>
      <c r="L18" s="81">
        <v>7500</v>
      </c>
      <c r="M18" s="81"/>
      <c r="N18" s="97"/>
    </row>
    <row r="19" spans="2:30" ht="22.5" customHeight="1">
      <c r="B19" s="108"/>
      <c r="C19" s="108"/>
      <c r="D19" s="108"/>
      <c r="E19" s="108"/>
      <c r="F19" s="148"/>
      <c r="G19" s="150"/>
      <c r="H19" s="34"/>
      <c r="I19" s="96"/>
      <c r="J19" s="35"/>
      <c r="K19" s="35"/>
      <c r="L19" s="35"/>
      <c r="M19" s="35"/>
      <c r="N19" s="106"/>
    </row>
    <row r="20" spans="2:30" ht="22.5" customHeight="1">
      <c r="B20" s="108"/>
      <c r="C20" s="108"/>
      <c r="D20" s="108"/>
      <c r="E20" s="108"/>
      <c r="F20" s="148"/>
      <c r="G20" s="150"/>
      <c r="H20" s="34"/>
      <c r="I20" s="96"/>
      <c r="J20" s="35"/>
      <c r="K20" s="35"/>
      <c r="L20" s="35"/>
      <c r="M20" s="35"/>
      <c r="N20" s="106"/>
    </row>
    <row r="21" spans="2:30" ht="22.5" customHeight="1">
      <c r="B21" s="108"/>
      <c r="C21" s="108"/>
      <c r="D21" s="108"/>
      <c r="E21" s="108"/>
      <c r="F21" s="148"/>
      <c r="G21" s="150"/>
      <c r="H21" s="34"/>
      <c r="I21" s="96"/>
      <c r="J21" s="35"/>
      <c r="K21" s="35"/>
      <c r="L21" s="35"/>
      <c r="M21" s="35"/>
      <c r="N21" s="106"/>
    </row>
    <row r="22" spans="2:30" ht="22.5" customHeight="1">
      <c r="B22" s="108"/>
      <c r="C22" s="108"/>
      <c r="D22" s="108"/>
      <c r="E22" s="108"/>
      <c r="F22" s="148"/>
      <c r="G22" s="150"/>
      <c r="H22" s="34"/>
      <c r="I22" s="96"/>
      <c r="J22" s="35"/>
      <c r="K22" s="35"/>
      <c r="L22" s="35"/>
      <c r="M22" s="35"/>
      <c r="N22" s="106"/>
    </row>
    <row r="23" spans="2:30" ht="22.5" customHeight="1">
      <c r="B23" s="108"/>
      <c r="C23" s="108"/>
      <c r="D23" s="108"/>
      <c r="E23" s="108"/>
      <c r="F23" s="148"/>
      <c r="G23" s="150"/>
      <c r="H23" s="34"/>
      <c r="I23" s="96"/>
      <c r="J23" s="35"/>
      <c r="K23" s="35"/>
      <c r="L23" s="35"/>
      <c r="M23" s="35"/>
      <c r="N23" s="106"/>
    </row>
    <row r="24" spans="2:30" ht="22.5" customHeight="1">
      <c r="B24" s="108"/>
      <c r="C24" s="108"/>
      <c r="D24" s="108"/>
      <c r="E24" s="108"/>
      <c r="F24" s="148"/>
      <c r="G24" s="150"/>
      <c r="H24" s="34"/>
      <c r="I24" s="96"/>
      <c r="J24" s="35"/>
      <c r="K24" s="35"/>
      <c r="L24" s="35"/>
      <c r="M24" s="35"/>
      <c r="N24" s="106"/>
    </row>
    <row r="25" spans="2:30" ht="22.5" customHeight="1">
      <c r="B25" s="108"/>
      <c r="C25" s="108"/>
      <c r="D25" s="108"/>
      <c r="E25" s="108"/>
      <c r="F25" s="148"/>
      <c r="G25" s="150"/>
      <c r="H25" s="34"/>
      <c r="I25" s="96"/>
      <c r="J25" s="35"/>
      <c r="K25" s="35"/>
      <c r="L25" s="35"/>
      <c r="M25" s="35"/>
      <c r="N25" s="106"/>
    </row>
    <row r="26" spans="2:30" ht="22.5" customHeight="1">
      <c r="B26" s="108"/>
      <c r="C26" s="108"/>
      <c r="D26" s="108"/>
      <c r="E26" s="108"/>
      <c r="F26" s="148"/>
      <c r="G26" s="150"/>
      <c r="H26" s="34"/>
      <c r="I26" s="96"/>
      <c r="J26" s="35"/>
      <c r="K26" s="35"/>
      <c r="L26" s="35"/>
      <c r="M26" s="35"/>
      <c r="N26" s="106"/>
    </row>
    <row r="27" spans="2:30" ht="22.5" customHeight="1">
      <c r="B27" s="108"/>
      <c r="C27" s="108"/>
      <c r="D27" s="108"/>
      <c r="E27" s="108"/>
      <c r="F27" s="148"/>
      <c r="G27" s="150"/>
      <c r="H27" s="34"/>
      <c r="I27" s="96"/>
      <c r="J27" s="35"/>
      <c r="K27" s="35"/>
      <c r="L27" s="35"/>
      <c r="M27" s="35"/>
      <c r="N27" s="106"/>
    </row>
    <row r="28" spans="2:30" ht="22.5" customHeight="1">
      <c r="B28" s="108"/>
      <c r="C28" s="108"/>
      <c r="D28" s="108"/>
      <c r="E28" s="108"/>
      <c r="F28" s="148"/>
      <c r="G28" s="150"/>
      <c r="H28" s="34"/>
      <c r="I28" s="96"/>
      <c r="J28" s="35"/>
      <c r="K28" s="35"/>
      <c r="L28" s="35"/>
      <c r="M28" s="35"/>
      <c r="N28" s="106"/>
    </row>
    <row r="29" spans="2:30" ht="22.5" customHeight="1">
      <c r="B29" s="108"/>
      <c r="C29" s="108"/>
      <c r="D29" s="108"/>
      <c r="E29" s="108"/>
      <c r="F29" s="148"/>
      <c r="G29" s="150"/>
      <c r="H29" s="34"/>
      <c r="I29" s="96"/>
      <c r="J29" s="35"/>
      <c r="K29" s="35"/>
      <c r="L29" s="35"/>
      <c r="M29" s="35"/>
      <c r="N29" s="106"/>
    </row>
    <row r="30" spans="2:30" ht="22.5" customHeight="1">
      <c r="B30" s="108"/>
      <c r="C30" s="108"/>
      <c r="D30" s="108"/>
      <c r="E30" s="108"/>
      <c r="F30" s="148"/>
      <c r="G30" s="150"/>
      <c r="H30" s="34"/>
      <c r="I30" s="96"/>
      <c r="J30" s="35"/>
      <c r="K30" s="35"/>
      <c r="L30" s="35"/>
      <c r="M30" s="35"/>
      <c r="N30" s="106"/>
    </row>
    <row r="31" spans="2:30" ht="22.5" customHeight="1">
      <c r="B31" s="108"/>
      <c r="C31" s="108"/>
      <c r="D31" s="108"/>
      <c r="E31" s="108"/>
      <c r="F31" s="148"/>
      <c r="G31" s="150"/>
      <c r="H31" s="34"/>
      <c r="I31" s="96"/>
      <c r="J31" s="35"/>
      <c r="K31" s="35"/>
      <c r="L31" s="35"/>
      <c r="M31" s="35"/>
      <c r="N31" s="106"/>
    </row>
    <row r="32" spans="2:30" ht="22.5" customHeight="1">
      <c r="B32" s="108"/>
      <c r="C32" s="108"/>
      <c r="D32" s="108"/>
      <c r="E32" s="108"/>
      <c r="F32" s="148"/>
      <c r="G32" s="150"/>
      <c r="H32" s="34"/>
      <c r="I32" s="96"/>
      <c r="J32" s="35"/>
      <c r="K32" s="35"/>
      <c r="L32" s="35"/>
      <c r="M32" s="35"/>
      <c r="N32" s="106"/>
    </row>
    <row r="33" spans="1:30" ht="22.5" customHeight="1">
      <c r="B33" s="108"/>
      <c r="C33" s="108"/>
      <c r="D33" s="108"/>
      <c r="E33" s="108"/>
      <c r="F33" s="148"/>
      <c r="G33" s="150"/>
      <c r="H33" s="34"/>
      <c r="I33" s="96"/>
      <c r="J33" s="35"/>
      <c r="K33" s="35"/>
      <c r="L33" s="35"/>
      <c r="M33" s="35"/>
      <c r="N33" s="106"/>
    </row>
    <row r="34" spans="1:30" ht="22.5" customHeight="1">
      <c r="B34" s="108"/>
      <c r="C34" s="108"/>
      <c r="D34" s="108"/>
      <c r="E34" s="108"/>
      <c r="F34" s="148"/>
      <c r="G34" s="150"/>
      <c r="H34" s="34"/>
      <c r="I34" s="96"/>
      <c r="J34" s="35"/>
      <c r="K34" s="35"/>
      <c r="L34" s="35"/>
      <c r="M34" s="35"/>
      <c r="N34" s="106"/>
    </row>
    <row r="35" spans="1:30" ht="22.5" customHeight="1">
      <c r="B35" s="108"/>
      <c r="C35" s="108"/>
      <c r="D35" s="108"/>
      <c r="E35" s="108"/>
      <c r="F35" s="148"/>
      <c r="G35" s="150"/>
      <c r="H35" s="34"/>
      <c r="I35" s="96"/>
      <c r="J35" s="35"/>
      <c r="K35" s="35"/>
      <c r="L35" s="35"/>
      <c r="M35" s="35"/>
      <c r="N35" s="106"/>
    </row>
    <row r="36" spans="1:30" s="26" customFormat="1" ht="22.5" customHeight="1">
      <c r="A36" s="27"/>
      <c r="B36" s="108"/>
      <c r="C36" s="108"/>
      <c r="D36" s="108"/>
      <c r="E36" s="108"/>
      <c r="F36" s="148"/>
      <c r="G36" s="150"/>
      <c r="H36" s="34"/>
      <c r="I36" s="96"/>
      <c r="J36" s="35"/>
      <c r="K36" s="35"/>
      <c r="L36" s="35"/>
      <c r="M36" s="35"/>
      <c r="N36" s="106"/>
      <c r="O36" s="27"/>
      <c r="AD36" s="123"/>
    </row>
    <row r="37" spans="1:30" s="26" customFormat="1" ht="22.5" customHeight="1">
      <c r="B37" s="108"/>
      <c r="C37" s="108"/>
      <c r="D37" s="108"/>
      <c r="E37" s="108"/>
      <c r="F37" s="148"/>
      <c r="G37" s="150"/>
      <c r="H37" s="34"/>
      <c r="I37" s="96"/>
      <c r="J37" s="35"/>
      <c r="K37" s="35"/>
      <c r="L37" s="35"/>
      <c r="M37" s="35"/>
      <c r="N37" s="106"/>
      <c r="AD37" s="123"/>
    </row>
    <row r="38" spans="1:30" s="26" customFormat="1" ht="22.5" customHeight="1">
      <c r="B38" s="108"/>
      <c r="C38" s="108"/>
      <c r="D38" s="108"/>
      <c r="E38" s="108"/>
      <c r="F38" s="148"/>
      <c r="G38" s="150"/>
      <c r="H38" s="34"/>
      <c r="I38" s="96"/>
      <c r="J38" s="35"/>
      <c r="K38" s="35"/>
      <c r="L38" s="35"/>
      <c r="M38" s="35"/>
      <c r="N38" s="106"/>
      <c r="AD38" s="123"/>
    </row>
    <row r="39" spans="1:30" s="26" customFormat="1" ht="22.5" customHeight="1">
      <c r="B39" s="108"/>
      <c r="C39" s="108"/>
      <c r="D39" s="108"/>
      <c r="E39" s="108"/>
      <c r="F39" s="148"/>
      <c r="G39" s="150"/>
      <c r="H39" s="34"/>
      <c r="I39" s="96"/>
      <c r="J39" s="35"/>
      <c r="K39" s="35"/>
      <c r="L39" s="35"/>
      <c r="M39" s="35"/>
      <c r="N39" s="106"/>
      <c r="AD39" s="123"/>
    </row>
    <row r="40" spans="1:30" ht="22.5" customHeight="1">
      <c r="B40" s="109"/>
      <c r="C40" s="109"/>
      <c r="D40" s="109"/>
      <c r="E40" s="109"/>
      <c r="F40" s="185"/>
      <c r="G40" s="187"/>
      <c r="H40" s="36"/>
      <c r="I40" s="36"/>
      <c r="J40" s="37"/>
      <c r="K40" s="37"/>
      <c r="L40" s="37"/>
      <c r="M40" s="37"/>
      <c r="N40" s="91"/>
    </row>
    <row r="41" spans="1:30" ht="23.25" customHeight="1">
      <c r="B41" s="194" t="s">
        <v>30</v>
      </c>
      <c r="C41" s="195"/>
      <c r="D41" s="195"/>
      <c r="E41" s="104">
        <v>1859</v>
      </c>
      <c r="F41" s="196"/>
      <c r="G41" s="196"/>
      <c r="H41" s="82">
        <f>H42/8*E41</f>
        <v>0</v>
      </c>
      <c r="I41" s="82">
        <f>I42/4*293</f>
        <v>0</v>
      </c>
      <c r="J41" s="82">
        <f>SUM(J18:J40)</f>
        <v>0</v>
      </c>
      <c r="K41" s="82">
        <f>SUM(K18:K40)</f>
        <v>0</v>
      </c>
      <c r="L41" s="82">
        <f>SUM(L18:L40)</f>
        <v>7500</v>
      </c>
      <c r="M41" s="82">
        <f>SUM(M18:M40)</f>
        <v>0</v>
      </c>
      <c r="N41" s="83"/>
    </row>
    <row r="42" spans="1:30" ht="23.25" customHeight="1">
      <c r="B42" s="69"/>
      <c r="C42" s="69"/>
      <c r="D42" s="69"/>
      <c r="E42" s="70"/>
      <c r="F42" s="71"/>
      <c r="G42" s="71"/>
      <c r="H42" s="72">
        <f>SUM(H18:H40)</f>
        <v>0</v>
      </c>
      <c r="I42" s="72">
        <f>SUM(I18:I40)</f>
        <v>0</v>
      </c>
      <c r="J42" s="73"/>
      <c r="K42" s="73"/>
      <c r="L42" s="73"/>
      <c r="M42" s="73"/>
      <c r="N42" s="74"/>
    </row>
    <row r="43" spans="1:30" ht="9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30" ht="19.5" customHeight="1">
      <c r="B44" s="190" t="s">
        <v>57</v>
      </c>
      <c r="C44" s="190"/>
      <c r="D44" s="190"/>
      <c r="E44" s="190"/>
      <c r="F44" s="190"/>
      <c r="G44" s="31"/>
      <c r="H44" s="32"/>
      <c r="I44" s="32"/>
      <c r="J44" s="32"/>
      <c r="K44" s="32"/>
      <c r="L44" s="31"/>
      <c r="M44" s="31"/>
      <c r="N44" s="33" t="s">
        <v>0</v>
      </c>
    </row>
    <row r="45" spans="1:30" s="100" customFormat="1" ht="30" customHeight="1"/>
    <row r="46" spans="1:30" s="100" customFormat="1" ht="30" customHeight="1"/>
    <row r="47" spans="1:30" s="100" customFormat="1" ht="30" customHeight="1"/>
    <row r="48" spans="1:30" s="100" customFormat="1" ht="30" customHeight="1"/>
    <row r="49" s="100" customFormat="1" ht="30" customHeight="1"/>
    <row r="50" s="100" customFormat="1" ht="30" customHeight="1"/>
    <row r="51" s="100" customFormat="1" ht="30" customHeight="1"/>
    <row r="52" s="100" customFormat="1" ht="30" customHeight="1"/>
  </sheetData>
  <sheetProtection algorithmName="SHA-512" hashValue="HvK6U1ijPnxL9Sm5RZ1veqilhY9r2VSluxFlvKyL7hoNThQ85RMZTnzLd6iKTvM8trpOny9A/avcV5TMoyxSTg==" saltValue="8/21UFAw9xwIWiudOhIjFA==" spinCount="100000" sheet="1" selectLockedCells="1"/>
  <mergeCells count="52">
    <mergeCell ref="B44:F44"/>
    <mergeCell ref="C3:K3"/>
    <mergeCell ref="B4:C5"/>
    <mergeCell ref="D4:H7"/>
    <mergeCell ref="B6:C7"/>
    <mergeCell ref="B9:D9"/>
    <mergeCell ref="E9:G9"/>
    <mergeCell ref="H9:K11"/>
    <mergeCell ref="B13:D13"/>
    <mergeCell ref="E13:F13"/>
    <mergeCell ref="B14:D14"/>
    <mergeCell ref="E14:F14"/>
    <mergeCell ref="K14:O14"/>
    <mergeCell ref="B16:B17"/>
    <mergeCell ref="C16:D16"/>
    <mergeCell ref="E16:E17"/>
    <mergeCell ref="L9:N11"/>
    <mergeCell ref="B10:D10"/>
    <mergeCell ref="E10:G10"/>
    <mergeCell ref="B11:D11"/>
    <mergeCell ref="E11:G11"/>
    <mergeCell ref="F16:G17"/>
    <mergeCell ref="L16:M16"/>
    <mergeCell ref="N16:N17"/>
    <mergeCell ref="J15:N15"/>
    <mergeCell ref="H16:I16"/>
    <mergeCell ref="J16:K16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B41:D41"/>
    <mergeCell ref="F41:G41"/>
    <mergeCell ref="F36:G36"/>
    <mergeCell ref="F37:G37"/>
    <mergeCell ref="F38:G38"/>
    <mergeCell ref="F39:G39"/>
    <mergeCell ref="F40:G40"/>
  </mergeCells>
  <phoneticPr fontId="1" type="noConversion"/>
  <conditionalFormatting sqref="B18:N40">
    <cfRule type="containsBlanks" dxfId="36" priority="6">
      <formula>LEN(TRIM(B18))=0</formula>
    </cfRule>
  </conditionalFormatting>
  <conditionalFormatting sqref="E9:G9">
    <cfRule type="cellIs" dxfId="35" priority="3" operator="equal">
      <formula>0</formula>
    </cfRule>
  </conditionalFormatting>
  <conditionalFormatting sqref="E10:G10">
    <cfRule type="cellIs" dxfId="34" priority="2" operator="equal">
      <formula>0</formula>
    </cfRule>
  </conditionalFormatting>
  <conditionalFormatting sqref="E11:G11">
    <cfRule type="cellIs" dxfId="33" priority="1" operator="equal">
      <formula>0</formula>
    </cfRule>
  </conditionalFormatting>
  <dataValidations count="2">
    <dataValidation type="list" allowBlank="1" showInputMessage="1" showErrorMessage="1" sqref="B6:C7" xr:uid="{00000000-0002-0000-0200-000000000000}">
      <formula1>"1월,2월,3월,4월,5월,6월,7월,8월,9월,10월,11월,12월"</formula1>
    </dataValidation>
    <dataValidation type="list" allowBlank="1" showInputMessage="1" showErrorMessage="1" sqref="E10:G10" xr:uid="{00000000-0002-0000-0200-000001000000}">
      <formula1>$AD$6:$AD$12</formula1>
    </dataValidation>
  </dataValidations>
  <printOptions horizontalCentered="1"/>
  <pageMargins left="0.24" right="0.24" top="0.31" bottom="0.31" header="0.31" footer="0.31"/>
  <pageSetup paperSize="9" scale="6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59996337778862885"/>
    <pageSetUpPr fitToPage="1"/>
  </sheetPr>
  <dimension ref="A1:AB51"/>
  <sheetViews>
    <sheetView showGridLines="0" zoomScale="70" zoomScaleNormal="70" workbookViewId="0">
      <selection activeCell="B6" sqref="B6"/>
    </sheetView>
  </sheetViews>
  <sheetFormatPr defaultColWidth="9" defaultRowHeight="30" customHeight="1"/>
  <cols>
    <col min="1" max="1" width="1.5" style="1" customWidth="1"/>
    <col min="2" max="2" width="3" style="1" customWidth="1"/>
    <col min="3" max="3" width="8.83203125" style="1" customWidth="1"/>
    <col min="4" max="4" width="7.08203125" style="1" customWidth="1"/>
    <col min="5" max="5" width="10.83203125" style="1" customWidth="1"/>
    <col min="6" max="6" width="7.08203125" style="1" customWidth="1"/>
    <col min="7" max="7" width="16.75" style="1" customWidth="1"/>
    <col min="8" max="9" width="11.33203125" style="1" customWidth="1"/>
    <col min="10" max="13" width="11" style="1" customWidth="1"/>
    <col min="14" max="14" width="14.75" style="1" customWidth="1"/>
    <col min="15" max="15" width="1.5" style="1" customWidth="1"/>
    <col min="16" max="16" width="9" style="1" customWidth="1"/>
    <col min="17" max="16384" width="9" style="1"/>
  </cols>
  <sheetData>
    <row r="1" spans="2:28" ht="16.5" customHeight="1"/>
    <row r="2" spans="2:28" ht="39" customHeight="1" thickBot="1">
      <c r="B2" s="63"/>
      <c r="C2" s="63"/>
      <c r="D2" s="63"/>
      <c r="E2" s="63"/>
      <c r="F2" s="63"/>
      <c r="G2" s="63"/>
      <c r="H2" s="245" t="s">
        <v>65</v>
      </c>
      <c r="I2" s="245"/>
      <c r="J2" s="245"/>
      <c r="K2" s="245"/>
      <c r="L2" s="245"/>
      <c r="M2" s="245"/>
      <c r="N2" s="64" t="s">
        <v>45</v>
      </c>
    </row>
    <row r="3" spans="2:28" ht="19.5" customHeight="1" thickTop="1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2:28" s="4" customFormat="1" ht="30" customHeight="1">
      <c r="B4" s="239" t="s">
        <v>2</v>
      </c>
      <c r="C4" s="241" t="s">
        <v>26</v>
      </c>
      <c r="D4" s="242"/>
      <c r="E4" s="243" t="s">
        <v>23</v>
      </c>
      <c r="F4" s="197" t="s">
        <v>24</v>
      </c>
      <c r="G4" s="198"/>
      <c r="H4" s="159" t="s">
        <v>70</v>
      </c>
      <c r="I4" s="161"/>
      <c r="J4" s="159" t="s">
        <v>29</v>
      </c>
      <c r="K4" s="161"/>
      <c r="L4" s="159" t="s">
        <v>18</v>
      </c>
      <c r="M4" s="161"/>
      <c r="N4" s="201" t="s">
        <v>15</v>
      </c>
    </row>
    <row r="5" spans="2:28" s="4" customFormat="1" ht="30" customHeight="1">
      <c r="B5" s="240"/>
      <c r="C5" s="98" t="s">
        <v>21</v>
      </c>
      <c r="D5" s="98" t="s">
        <v>22</v>
      </c>
      <c r="E5" s="244"/>
      <c r="F5" s="199"/>
      <c r="G5" s="200"/>
      <c r="H5" s="95" t="s">
        <v>71</v>
      </c>
      <c r="I5" s="95" t="s">
        <v>72</v>
      </c>
      <c r="J5" s="95" t="s">
        <v>27</v>
      </c>
      <c r="K5" s="95" t="s">
        <v>28</v>
      </c>
      <c r="L5" s="95" t="s">
        <v>16</v>
      </c>
      <c r="M5" s="95" t="s">
        <v>17</v>
      </c>
      <c r="N5" s="202"/>
    </row>
    <row r="6" spans="2:28" s="4" customFormat="1" ht="22.5" customHeight="1">
      <c r="B6" s="107"/>
      <c r="C6" s="107"/>
      <c r="D6" s="107"/>
      <c r="E6" s="107"/>
      <c r="F6" s="191"/>
      <c r="G6" s="193"/>
      <c r="H6" s="96"/>
      <c r="I6" s="96"/>
      <c r="J6" s="81"/>
      <c r="K6" s="81"/>
      <c r="L6" s="81"/>
      <c r="M6" s="81"/>
      <c r="N6" s="97"/>
    </row>
    <row r="7" spans="2:28" s="4" customFormat="1" ht="22.5" customHeight="1">
      <c r="B7" s="108"/>
      <c r="C7" s="108"/>
      <c r="D7" s="108"/>
      <c r="E7" s="108"/>
      <c r="F7" s="148"/>
      <c r="G7" s="150"/>
      <c r="H7" s="34"/>
      <c r="I7" s="34"/>
      <c r="J7" s="35"/>
      <c r="K7" s="35"/>
      <c r="L7" s="35"/>
      <c r="M7" s="35"/>
      <c r="N7" s="106"/>
    </row>
    <row r="8" spans="2:28" s="4" customFormat="1" ht="22.5" customHeight="1">
      <c r="B8" s="108"/>
      <c r="C8" s="108"/>
      <c r="D8" s="108"/>
      <c r="E8" s="108"/>
      <c r="F8" s="148"/>
      <c r="G8" s="150"/>
      <c r="H8" s="34"/>
      <c r="I8" s="34"/>
      <c r="J8" s="35"/>
      <c r="K8" s="35"/>
      <c r="L8" s="35"/>
      <c r="M8" s="35"/>
      <c r="N8" s="106"/>
    </row>
    <row r="9" spans="2:28" s="4" customFormat="1" ht="22.5" customHeight="1">
      <c r="B9" s="108"/>
      <c r="C9" s="108"/>
      <c r="D9" s="108"/>
      <c r="E9" s="108"/>
      <c r="F9" s="148"/>
      <c r="G9" s="150"/>
      <c r="H9" s="34"/>
      <c r="I9" s="34"/>
      <c r="J9" s="35"/>
      <c r="K9" s="35"/>
      <c r="L9" s="35"/>
      <c r="M9" s="35"/>
      <c r="N9" s="106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2:28" s="14" customFormat="1" ht="22.5" customHeight="1">
      <c r="B10" s="108"/>
      <c r="C10" s="108"/>
      <c r="D10" s="108"/>
      <c r="E10" s="108"/>
      <c r="F10" s="148"/>
      <c r="G10" s="150"/>
      <c r="H10" s="34"/>
      <c r="I10" s="34"/>
      <c r="J10" s="35"/>
      <c r="K10" s="35"/>
      <c r="L10" s="35"/>
      <c r="M10" s="35"/>
      <c r="N10" s="106"/>
    </row>
    <row r="11" spans="2:28" s="14" customFormat="1" ht="22.5" customHeight="1">
      <c r="B11" s="108"/>
      <c r="C11" s="108"/>
      <c r="D11" s="108"/>
      <c r="E11" s="108"/>
      <c r="F11" s="148"/>
      <c r="G11" s="150"/>
      <c r="H11" s="34"/>
      <c r="I11" s="34"/>
      <c r="J11" s="35"/>
      <c r="K11" s="35"/>
      <c r="L11" s="35"/>
      <c r="M11" s="35"/>
      <c r="N11" s="106"/>
    </row>
    <row r="12" spans="2:28" s="14" customFormat="1" ht="22.5" customHeight="1">
      <c r="B12" s="108"/>
      <c r="C12" s="108"/>
      <c r="D12" s="108"/>
      <c r="E12" s="108"/>
      <c r="F12" s="148"/>
      <c r="G12" s="150"/>
      <c r="H12" s="34"/>
      <c r="I12" s="34"/>
      <c r="J12" s="35"/>
      <c r="K12" s="35"/>
      <c r="L12" s="35"/>
      <c r="M12" s="35"/>
      <c r="N12" s="10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2:28" ht="22.5" customHeight="1">
      <c r="B13" s="108"/>
      <c r="C13" s="108"/>
      <c r="D13" s="108"/>
      <c r="E13" s="108"/>
      <c r="F13" s="148"/>
      <c r="G13" s="150"/>
      <c r="H13" s="34"/>
      <c r="I13" s="34"/>
      <c r="J13" s="35"/>
      <c r="K13" s="35"/>
      <c r="L13" s="35"/>
      <c r="M13" s="35"/>
      <c r="N13" s="106"/>
    </row>
    <row r="14" spans="2:28" ht="22.5" customHeight="1">
      <c r="B14" s="108"/>
      <c r="C14" s="108"/>
      <c r="D14" s="108"/>
      <c r="E14" s="108"/>
      <c r="F14" s="148"/>
      <c r="G14" s="150"/>
      <c r="H14" s="34"/>
      <c r="I14" s="34"/>
      <c r="J14" s="35"/>
      <c r="K14" s="35"/>
      <c r="L14" s="35"/>
      <c r="M14" s="35"/>
      <c r="N14" s="106"/>
    </row>
    <row r="15" spans="2:28" ht="22.5" customHeight="1">
      <c r="B15" s="108"/>
      <c r="C15" s="108"/>
      <c r="D15" s="108"/>
      <c r="E15" s="108"/>
      <c r="F15" s="148"/>
      <c r="G15" s="150"/>
      <c r="H15" s="34"/>
      <c r="I15" s="34"/>
      <c r="J15" s="35"/>
      <c r="K15" s="35"/>
      <c r="L15" s="35"/>
      <c r="M15" s="35"/>
      <c r="N15" s="106"/>
    </row>
    <row r="16" spans="2:28" s="4" customFormat="1" ht="22.5" customHeight="1">
      <c r="B16" s="108"/>
      <c r="C16" s="108"/>
      <c r="D16" s="108"/>
      <c r="E16" s="108"/>
      <c r="F16" s="148"/>
      <c r="G16" s="150"/>
      <c r="H16" s="34"/>
      <c r="I16" s="34"/>
      <c r="J16" s="35"/>
      <c r="K16" s="35"/>
      <c r="L16" s="35"/>
      <c r="M16" s="35"/>
      <c r="N16" s="106"/>
    </row>
    <row r="17" spans="2:17" s="4" customFormat="1" ht="22.5" customHeight="1">
      <c r="B17" s="108"/>
      <c r="C17" s="108"/>
      <c r="D17" s="108"/>
      <c r="E17" s="108"/>
      <c r="F17" s="148"/>
      <c r="G17" s="150"/>
      <c r="H17" s="34"/>
      <c r="I17" s="34"/>
      <c r="J17" s="35"/>
      <c r="K17" s="35"/>
      <c r="L17" s="35"/>
      <c r="M17" s="35"/>
      <c r="N17" s="106"/>
      <c r="Q17" s="14" t="s">
        <v>31</v>
      </c>
    </row>
    <row r="18" spans="2:17" ht="22.5" customHeight="1">
      <c r="B18" s="108"/>
      <c r="C18" s="108"/>
      <c r="D18" s="108"/>
      <c r="E18" s="108"/>
      <c r="F18" s="148"/>
      <c r="G18" s="150"/>
      <c r="H18" s="34"/>
      <c r="I18" s="34"/>
      <c r="J18" s="35"/>
      <c r="K18" s="35"/>
      <c r="L18" s="35"/>
      <c r="M18" s="35"/>
      <c r="N18" s="106"/>
    </row>
    <row r="19" spans="2:17" ht="22.5" customHeight="1">
      <c r="B19" s="108"/>
      <c r="C19" s="108"/>
      <c r="D19" s="108"/>
      <c r="E19" s="108"/>
      <c r="F19" s="148"/>
      <c r="G19" s="150"/>
      <c r="H19" s="34"/>
      <c r="I19" s="34"/>
      <c r="J19" s="35"/>
      <c r="K19" s="35"/>
      <c r="L19" s="35"/>
      <c r="M19" s="35"/>
      <c r="N19" s="106"/>
    </row>
    <row r="20" spans="2:17" ht="22.5" customHeight="1">
      <c r="B20" s="108"/>
      <c r="C20" s="108"/>
      <c r="D20" s="108"/>
      <c r="E20" s="108"/>
      <c r="F20" s="148"/>
      <c r="G20" s="150"/>
      <c r="H20" s="34"/>
      <c r="I20" s="34"/>
      <c r="J20" s="35"/>
      <c r="K20" s="35"/>
      <c r="L20" s="35"/>
      <c r="M20" s="35"/>
      <c r="N20" s="106"/>
    </row>
    <row r="21" spans="2:17" ht="22.5" customHeight="1">
      <c r="B21" s="108"/>
      <c r="C21" s="108"/>
      <c r="D21" s="108"/>
      <c r="E21" s="108"/>
      <c r="F21" s="148"/>
      <c r="G21" s="150"/>
      <c r="H21" s="34"/>
      <c r="I21" s="34"/>
      <c r="J21" s="35"/>
      <c r="K21" s="35"/>
      <c r="L21" s="35"/>
      <c r="M21" s="35"/>
      <c r="N21" s="106"/>
    </row>
    <row r="22" spans="2:17" ht="22.5" customHeight="1">
      <c r="B22" s="108"/>
      <c r="C22" s="108"/>
      <c r="D22" s="108"/>
      <c r="E22" s="108"/>
      <c r="F22" s="148"/>
      <c r="G22" s="150"/>
      <c r="H22" s="34"/>
      <c r="I22" s="34"/>
      <c r="J22" s="35"/>
      <c r="K22" s="35"/>
      <c r="L22" s="35"/>
      <c r="M22" s="35"/>
      <c r="N22" s="106"/>
    </row>
    <row r="23" spans="2:17" ht="22.5" customHeight="1">
      <c r="B23" s="108"/>
      <c r="C23" s="108"/>
      <c r="D23" s="108"/>
      <c r="E23" s="108"/>
      <c r="F23" s="148"/>
      <c r="G23" s="150"/>
      <c r="H23" s="34"/>
      <c r="I23" s="34"/>
      <c r="J23" s="35"/>
      <c r="K23" s="35"/>
      <c r="L23" s="35"/>
      <c r="M23" s="35"/>
      <c r="N23" s="106"/>
    </row>
    <row r="24" spans="2:17" ht="22.5" customHeight="1">
      <c r="B24" s="108"/>
      <c r="C24" s="108"/>
      <c r="D24" s="108"/>
      <c r="E24" s="108"/>
      <c r="F24" s="148"/>
      <c r="G24" s="150"/>
      <c r="H24" s="34"/>
      <c r="I24" s="34"/>
      <c r="J24" s="35"/>
      <c r="K24" s="35"/>
      <c r="L24" s="35"/>
      <c r="M24" s="35"/>
      <c r="N24" s="106"/>
    </row>
    <row r="25" spans="2:17" ht="22.5" customHeight="1">
      <c r="B25" s="108"/>
      <c r="C25" s="108"/>
      <c r="D25" s="108"/>
      <c r="E25" s="108"/>
      <c r="F25" s="148"/>
      <c r="G25" s="150"/>
      <c r="H25" s="34"/>
      <c r="I25" s="34"/>
      <c r="J25" s="35"/>
      <c r="K25" s="35"/>
      <c r="L25" s="35"/>
      <c r="M25" s="35"/>
      <c r="N25" s="106"/>
    </row>
    <row r="26" spans="2:17" ht="22.5" customHeight="1">
      <c r="B26" s="108"/>
      <c r="C26" s="108"/>
      <c r="D26" s="108"/>
      <c r="E26" s="108"/>
      <c r="F26" s="148"/>
      <c r="G26" s="150"/>
      <c r="H26" s="34"/>
      <c r="I26" s="34"/>
      <c r="J26" s="35"/>
      <c r="K26" s="35"/>
      <c r="L26" s="35"/>
      <c r="M26" s="35"/>
      <c r="N26" s="106"/>
    </row>
    <row r="27" spans="2:17" ht="22.5" customHeight="1">
      <c r="B27" s="108"/>
      <c r="C27" s="108"/>
      <c r="D27" s="108"/>
      <c r="E27" s="108"/>
      <c r="F27" s="148"/>
      <c r="G27" s="150"/>
      <c r="H27" s="34"/>
      <c r="I27" s="34"/>
      <c r="J27" s="35"/>
      <c r="K27" s="35"/>
      <c r="L27" s="35"/>
      <c r="M27" s="35"/>
      <c r="N27" s="106"/>
    </row>
    <row r="28" spans="2:17" ht="22.5" customHeight="1">
      <c r="B28" s="108"/>
      <c r="C28" s="108"/>
      <c r="D28" s="108"/>
      <c r="E28" s="108"/>
      <c r="F28" s="148"/>
      <c r="G28" s="150"/>
      <c r="H28" s="34"/>
      <c r="I28" s="34"/>
      <c r="J28" s="35"/>
      <c r="K28" s="35"/>
      <c r="L28" s="35"/>
      <c r="M28" s="35"/>
      <c r="N28" s="106"/>
    </row>
    <row r="29" spans="2:17" ht="22.5" customHeight="1">
      <c r="B29" s="108"/>
      <c r="C29" s="108"/>
      <c r="D29" s="108"/>
      <c r="E29" s="108"/>
      <c r="F29" s="148"/>
      <c r="G29" s="150"/>
      <c r="H29" s="34"/>
      <c r="I29" s="34"/>
      <c r="J29" s="35"/>
      <c r="K29" s="35"/>
      <c r="L29" s="35"/>
      <c r="M29" s="35"/>
      <c r="N29" s="106"/>
    </row>
    <row r="30" spans="2:17" ht="22.5" customHeight="1">
      <c r="B30" s="108"/>
      <c r="C30" s="108"/>
      <c r="D30" s="108"/>
      <c r="E30" s="108"/>
      <c r="F30" s="148"/>
      <c r="G30" s="150"/>
      <c r="H30" s="34"/>
      <c r="I30" s="34"/>
      <c r="J30" s="35"/>
      <c r="K30" s="35"/>
      <c r="L30" s="35"/>
      <c r="M30" s="35"/>
      <c r="N30" s="106"/>
    </row>
    <row r="31" spans="2:17" ht="22.5" customHeight="1">
      <c r="B31" s="108"/>
      <c r="C31" s="108"/>
      <c r="D31" s="108"/>
      <c r="E31" s="108"/>
      <c r="F31" s="148"/>
      <c r="G31" s="150"/>
      <c r="H31" s="34"/>
      <c r="I31" s="34"/>
      <c r="J31" s="35"/>
      <c r="K31" s="35"/>
      <c r="L31" s="35"/>
      <c r="M31" s="35"/>
      <c r="N31" s="106"/>
    </row>
    <row r="32" spans="2:17" ht="22.5" customHeight="1">
      <c r="B32" s="108"/>
      <c r="C32" s="108"/>
      <c r="D32" s="108"/>
      <c r="E32" s="108"/>
      <c r="F32" s="148"/>
      <c r="G32" s="150"/>
      <c r="H32" s="34"/>
      <c r="I32" s="34"/>
      <c r="J32" s="35"/>
      <c r="K32" s="35"/>
      <c r="L32" s="35"/>
      <c r="M32" s="35"/>
      <c r="N32" s="106"/>
    </row>
    <row r="33" spans="1:28" ht="22.5" customHeight="1">
      <c r="B33" s="108"/>
      <c r="C33" s="108"/>
      <c r="D33" s="108"/>
      <c r="E33" s="108"/>
      <c r="F33" s="148"/>
      <c r="G33" s="150"/>
      <c r="H33" s="34"/>
      <c r="I33" s="34"/>
      <c r="J33" s="35"/>
      <c r="K33" s="35"/>
      <c r="L33" s="35"/>
      <c r="M33" s="35"/>
      <c r="N33" s="106"/>
    </row>
    <row r="34" spans="1:28" ht="22.5" customHeight="1">
      <c r="B34" s="108"/>
      <c r="C34" s="108"/>
      <c r="D34" s="108"/>
      <c r="E34" s="108"/>
      <c r="F34" s="148"/>
      <c r="G34" s="150"/>
      <c r="H34" s="34"/>
      <c r="I34" s="34"/>
      <c r="J34" s="35"/>
      <c r="K34" s="35"/>
      <c r="L34" s="35"/>
      <c r="M34" s="35"/>
      <c r="N34" s="106"/>
    </row>
    <row r="35" spans="1:28" ht="22.5" customHeight="1">
      <c r="B35" s="108"/>
      <c r="C35" s="108"/>
      <c r="D35" s="108"/>
      <c r="E35" s="108"/>
      <c r="F35" s="148"/>
      <c r="G35" s="150"/>
      <c r="H35" s="34"/>
      <c r="I35" s="34"/>
      <c r="J35" s="35"/>
      <c r="K35" s="35"/>
      <c r="L35" s="35"/>
      <c r="M35" s="35"/>
      <c r="N35" s="106"/>
    </row>
    <row r="36" spans="1:28" ht="22.5" customHeight="1">
      <c r="B36" s="108"/>
      <c r="C36" s="108"/>
      <c r="D36" s="108"/>
      <c r="E36" s="108"/>
      <c r="F36" s="148"/>
      <c r="G36" s="150"/>
      <c r="H36" s="34"/>
      <c r="I36" s="34"/>
      <c r="J36" s="35"/>
      <c r="K36" s="35"/>
      <c r="L36" s="35"/>
      <c r="M36" s="35"/>
      <c r="N36" s="10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s="26" customFormat="1" ht="22.5" customHeight="1">
      <c r="A37" s="27"/>
      <c r="B37" s="108"/>
      <c r="C37" s="108"/>
      <c r="D37" s="108"/>
      <c r="E37" s="108"/>
      <c r="F37" s="148"/>
      <c r="G37" s="150"/>
      <c r="H37" s="34"/>
      <c r="I37" s="34"/>
      <c r="J37" s="35"/>
      <c r="K37" s="35"/>
      <c r="L37" s="35"/>
      <c r="M37" s="35"/>
      <c r="N37" s="106"/>
      <c r="O37" s="27"/>
    </row>
    <row r="38" spans="1:28" s="26" customFormat="1" ht="22.5" customHeight="1">
      <c r="B38" s="108"/>
      <c r="C38" s="108"/>
      <c r="D38" s="108"/>
      <c r="E38" s="108"/>
      <c r="F38" s="148"/>
      <c r="G38" s="150"/>
      <c r="H38" s="34"/>
      <c r="I38" s="34"/>
      <c r="J38" s="35"/>
      <c r="K38" s="35"/>
      <c r="L38" s="35"/>
      <c r="M38" s="35"/>
      <c r="N38" s="106"/>
    </row>
    <row r="39" spans="1:28" s="26" customFormat="1" ht="22.5" customHeight="1">
      <c r="B39" s="108"/>
      <c r="C39" s="108"/>
      <c r="D39" s="108"/>
      <c r="E39" s="108"/>
      <c r="F39" s="148"/>
      <c r="G39" s="150"/>
      <c r="H39" s="34"/>
      <c r="I39" s="34"/>
      <c r="J39" s="35"/>
      <c r="K39" s="35"/>
      <c r="L39" s="35"/>
      <c r="M39" s="35"/>
      <c r="N39" s="106"/>
    </row>
    <row r="40" spans="1:28" s="26" customFormat="1" ht="22.5" customHeight="1">
      <c r="B40" s="108"/>
      <c r="C40" s="108"/>
      <c r="D40" s="108"/>
      <c r="E40" s="108"/>
      <c r="F40" s="148"/>
      <c r="G40" s="150"/>
      <c r="H40" s="34"/>
      <c r="I40" s="34"/>
      <c r="J40" s="35"/>
      <c r="K40" s="35"/>
      <c r="L40" s="35"/>
      <c r="M40" s="35"/>
      <c r="N40" s="10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s="26" customFormat="1" ht="22.5" customHeight="1">
      <c r="B41" s="108"/>
      <c r="C41" s="108"/>
      <c r="D41" s="108"/>
      <c r="E41" s="108"/>
      <c r="F41" s="148"/>
      <c r="G41" s="150"/>
      <c r="H41" s="34"/>
      <c r="I41" s="34"/>
      <c r="J41" s="35"/>
      <c r="K41" s="35"/>
      <c r="L41" s="35"/>
      <c r="M41" s="35"/>
      <c r="N41" s="10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2.5" customHeight="1">
      <c r="B42" s="109"/>
      <c r="C42" s="109"/>
      <c r="D42" s="109"/>
      <c r="E42" s="109"/>
      <c r="F42" s="185"/>
      <c r="G42" s="187"/>
      <c r="H42" s="36"/>
      <c r="I42" s="36"/>
      <c r="J42" s="37"/>
      <c r="K42" s="37"/>
      <c r="L42" s="37"/>
      <c r="M42" s="37"/>
      <c r="N42" s="91"/>
    </row>
    <row r="43" spans="1:28" ht="23.25" customHeight="1">
      <c r="B43" s="194" t="s">
        <v>30</v>
      </c>
      <c r="C43" s="195"/>
      <c r="D43" s="195"/>
      <c r="E43" s="104">
        <v>1859</v>
      </c>
      <c r="F43" s="196"/>
      <c r="G43" s="196"/>
      <c r="H43" s="82">
        <f>H44/8*E43</f>
        <v>0</v>
      </c>
      <c r="I43" s="82">
        <f>I44/4*293</f>
        <v>0</v>
      </c>
      <c r="J43" s="82">
        <f>SUM(J6:J42)</f>
        <v>0</v>
      </c>
      <c r="K43" s="82">
        <f>SUM(K6:K42)</f>
        <v>0</v>
      </c>
      <c r="L43" s="82">
        <f>SUM(L6:L42)</f>
        <v>0</v>
      </c>
      <c r="M43" s="82">
        <f>SUM(M6:M42)</f>
        <v>0</v>
      </c>
      <c r="N43" s="83"/>
    </row>
    <row r="44" spans="1:28" ht="15" customHeight="1">
      <c r="B44" s="51"/>
      <c r="C44" s="51"/>
      <c r="D44" s="51"/>
      <c r="E44" s="84"/>
      <c r="F44" s="22"/>
      <c r="G44" s="22"/>
      <c r="H44" s="56">
        <f>SUM(H6:H42)</f>
        <v>0</v>
      </c>
      <c r="I44" s="56">
        <f>SUM(I6:I42)</f>
        <v>0</v>
      </c>
      <c r="J44" s="82"/>
      <c r="K44" s="82"/>
      <c r="L44" s="82"/>
      <c r="M44" s="82"/>
      <c r="N44" s="83"/>
    </row>
    <row r="45" spans="1:28" ht="8.25" customHeight="1" thickBot="1"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</row>
    <row r="46" spans="1:28" ht="27" customHeight="1" thickTop="1">
      <c r="B46" s="115" t="s">
        <v>58</v>
      </c>
      <c r="C46" s="115"/>
      <c r="D46" s="115"/>
      <c r="E46" s="115"/>
      <c r="F46" s="115"/>
      <c r="G46" s="31"/>
      <c r="H46" s="32"/>
      <c r="I46" s="32"/>
      <c r="J46" s="32"/>
      <c r="K46" s="32"/>
      <c r="L46" s="31"/>
      <c r="M46" s="31"/>
      <c r="N46" s="33" t="s">
        <v>0</v>
      </c>
    </row>
    <row r="50" spans="14:14" ht="30" customHeight="1">
      <c r="N50" s="76"/>
    </row>
    <row r="51" spans="14:14" ht="30" customHeight="1">
      <c r="N51" s="76"/>
    </row>
  </sheetData>
  <sheetProtection algorithmName="SHA-512" hashValue="7MZPOO68EqnAfvFzizBu8UAynVdlRq8jifWnbjB2M3H1tK7skKtxmzAKgpfebcPO0tpjZF4t6b9K1Ey5ScEsWg==" saltValue="VZ4hDY909455W3reeXIUhg==" spinCount="100000" sheet="1" selectLockedCells="1"/>
  <mergeCells count="48">
    <mergeCell ref="B4:B5"/>
    <mergeCell ref="C4:D4"/>
    <mergeCell ref="E4:E5"/>
    <mergeCell ref="F4:G5"/>
    <mergeCell ref="L4:M4"/>
    <mergeCell ref="H2:M2"/>
    <mergeCell ref="N4:N5"/>
    <mergeCell ref="F6:G6"/>
    <mergeCell ref="F7:G7"/>
    <mergeCell ref="J4:K4"/>
    <mergeCell ref="H4:I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B43:D43"/>
    <mergeCell ref="F43:G43"/>
    <mergeCell ref="F38:G38"/>
    <mergeCell ref="F39:G39"/>
    <mergeCell ref="F40:G40"/>
    <mergeCell ref="F41:G41"/>
    <mergeCell ref="F42:G42"/>
  </mergeCells>
  <phoneticPr fontId="1" type="noConversion"/>
  <conditionalFormatting sqref="B6:N8 B9:F9 H9:N9 B10:N36 B37:F37 H37:N37 B38:N38 B39:F39 H39:N39 B40:N42">
    <cfRule type="containsBlanks" dxfId="32" priority="1">
      <formula>LEN(TRIM(B6))=0</formula>
    </cfRule>
  </conditionalFormatting>
  <printOptions horizontalCentered="1"/>
  <pageMargins left="0.24" right="0.24" top="0.31" bottom="0.31" header="0.31" footer="0.31"/>
  <pageSetup paperSize="9" scale="6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/>
    <pageSetUpPr fitToPage="1"/>
  </sheetPr>
  <dimension ref="A1:Y328"/>
  <sheetViews>
    <sheetView showGridLines="0" zoomScale="70" zoomScaleNormal="70" zoomScaleSheetLayoutView="100" workbookViewId="0">
      <selection activeCell="B18" sqref="B18"/>
    </sheetView>
  </sheetViews>
  <sheetFormatPr defaultColWidth="9" defaultRowHeight="30" customHeight="1"/>
  <cols>
    <col min="1" max="1" width="1.5" style="1" customWidth="1"/>
    <col min="2" max="2" width="15.25" style="1" customWidth="1"/>
    <col min="3" max="3" width="6.58203125" style="1" customWidth="1"/>
    <col min="4" max="4" width="12.25" style="1" customWidth="1"/>
    <col min="5" max="5" width="10" style="1" customWidth="1"/>
    <col min="6" max="6" width="20.58203125" style="1" customWidth="1"/>
    <col min="7" max="7" width="19.58203125" style="1" customWidth="1"/>
    <col min="8" max="8" width="7.25" style="1" customWidth="1"/>
    <col min="9" max="9" width="14.25" style="1" customWidth="1"/>
    <col min="10" max="10" width="1.5" style="1" customWidth="1"/>
    <col min="11" max="11" width="9" style="1" customWidth="1"/>
    <col min="12" max="24" width="9" style="1"/>
    <col min="25" max="25" width="9" style="62"/>
    <col min="26" max="16384" width="9" style="1"/>
  </cols>
  <sheetData>
    <row r="1" spans="2:25" ht="15" customHeight="1"/>
    <row r="2" spans="2:25" ht="24" customHeight="1">
      <c r="B2" s="63"/>
      <c r="C2" s="63"/>
      <c r="D2" s="63"/>
      <c r="E2" s="63"/>
      <c r="F2" s="63"/>
      <c r="G2" s="63"/>
      <c r="H2" s="63"/>
      <c r="I2" s="64" t="s">
        <v>41</v>
      </c>
    </row>
    <row r="3" spans="2:25" ht="9.75" customHeight="1">
      <c r="B3" s="31"/>
      <c r="C3" s="31"/>
      <c r="D3" s="31"/>
      <c r="E3" s="31"/>
      <c r="F3" s="31"/>
      <c r="G3" s="31"/>
      <c r="H3" s="31"/>
      <c r="I3" s="31"/>
    </row>
    <row r="4" spans="2:25" s="4" customFormat="1" ht="19.5" customHeight="1">
      <c r="B4" s="166" t="s">
        <v>468</v>
      </c>
      <c r="C4" s="258" t="s">
        <v>25</v>
      </c>
      <c r="D4" s="258"/>
      <c r="E4" s="258"/>
      <c r="F4" s="258"/>
      <c r="G4" s="39"/>
      <c r="H4" s="39"/>
      <c r="I4" s="39"/>
      <c r="Y4" s="120"/>
    </row>
    <row r="5" spans="2:25" s="4" customFormat="1" ht="19.5" customHeight="1">
      <c r="B5" s="166"/>
      <c r="C5" s="258"/>
      <c r="D5" s="258"/>
      <c r="E5" s="258"/>
      <c r="F5" s="258"/>
      <c r="G5" s="40"/>
      <c r="H5" s="40"/>
      <c r="I5" s="40"/>
      <c r="Y5" s="120"/>
    </row>
    <row r="6" spans="2:25" s="4" customFormat="1" ht="19.5" customHeight="1">
      <c r="B6" s="166" t="s">
        <v>497</v>
      </c>
      <c r="C6" s="258"/>
      <c r="D6" s="258"/>
      <c r="E6" s="258"/>
      <c r="F6" s="258"/>
      <c r="G6" s="41"/>
      <c r="H6" s="42"/>
      <c r="I6" s="41"/>
      <c r="Y6" s="120"/>
    </row>
    <row r="7" spans="2:25" s="4" customFormat="1" ht="19.5" customHeight="1">
      <c r="B7" s="166"/>
      <c r="C7" s="258"/>
      <c r="D7" s="258"/>
      <c r="E7" s="258"/>
      <c r="F7" s="258"/>
      <c r="G7" s="41"/>
      <c r="H7" s="42"/>
      <c r="I7" s="41"/>
      <c r="Y7" s="120" t="s">
        <v>227</v>
      </c>
    </row>
    <row r="8" spans="2:25" s="4" customFormat="1" ht="11.25" customHeight="1">
      <c r="B8" s="38"/>
      <c r="C8" s="38"/>
      <c r="D8" s="38"/>
      <c r="E8" s="38"/>
      <c r="F8" s="38"/>
      <c r="G8" s="41"/>
      <c r="H8" s="42"/>
      <c r="I8" s="41"/>
      <c r="Y8" s="120" t="s">
        <v>228</v>
      </c>
    </row>
    <row r="9" spans="2:25" s="4" customFormat="1" ht="19.5" customHeight="1">
      <c r="B9" s="6" t="s">
        <v>14</v>
      </c>
      <c r="C9" s="41"/>
      <c r="D9" s="41"/>
      <c r="E9" s="42"/>
      <c r="F9" s="45"/>
      <c r="G9" s="45"/>
      <c r="H9" s="46"/>
      <c r="I9" s="47"/>
      <c r="Y9" s="120" t="s">
        <v>229</v>
      </c>
    </row>
    <row r="10" spans="2:25" s="14" customFormat="1" ht="19.5" customHeight="1">
      <c r="B10" s="57" t="s">
        <v>9</v>
      </c>
      <c r="C10" s="259" t="str">
        <f>'지출(개인)'!C10</f>
        <v>사업D본부</v>
      </c>
      <c r="D10" s="259"/>
      <c r="E10" s="222"/>
      <c r="F10" s="260" t="s">
        <v>12</v>
      </c>
      <c r="G10" s="261"/>
      <c r="H10" s="248">
        <f>SUM(B15:H15)</f>
        <v>0</v>
      </c>
      <c r="I10" s="249"/>
      <c r="Y10" s="62" t="s">
        <v>230</v>
      </c>
    </row>
    <row r="11" spans="2:25" s="14" customFormat="1" ht="18.75" customHeight="1">
      <c r="B11" s="58" t="s">
        <v>234</v>
      </c>
      <c r="C11" s="252" t="str">
        <f>'지출(개인)'!C11</f>
        <v>P5</v>
      </c>
      <c r="D11" s="252"/>
      <c r="E11" s="213"/>
      <c r="F11" s="262"/>
      <c r="G11" s="263"/>
      <c r="H11" s="250"/>
      <c r="I11" s="251"/>
      <c r="Y11" s="62" t="s">
        <v>231</v>
      </c>
    </row>
    <row r="12" spans="2:25" s="14" customFormat="1" ht="19.5" customHeight="1">
      <c r="B12" s="59" t="s">
        <v>13</v>
      </c>
      <c r="C12" s="253" t="str">
        <f>'지출(개인)'!C12</f>
        <v>박규남</v>
      </c>
      <c r="D12" s="253"/>
      <c r="E12" s="216"/>
      <c r="F12" s="60" t="s">
        <v>10</v>
      </c>
      <c r="G12" s="254">
        <v>1</v>
      </c>
      <c r="H12" s="254"/>
      <c r="I12" s="255"/>
      <c r="Y12" s="62" t="s">
        <v>232</v>
      </c>
    </row>
    <row r="13" spans="2:25" ht="19.5" customHeight="1">
      <c r="B13" s="17" t="s">
        <v>5</v>
      </c>
      <c r="C13" s="20"/>
      <c r="D13" s="20"/>
      <c r="E13" s="20"/>
      <c r="F13" s="20"/>
      <c r="G13" s="20"/>
      <c r="H13" s="61"/>
      <c r="I13" s="20"/>
      <c r="Y13" s="62" t="s">
        <v>233</v>
      </c>
    </row>
    <row r="14" spans="2:25" ht="26.25" customHeight="1" thickBot="1">
      <c r="B14" s="155" t="s">
        <v>54</v>
      </c>
      <c r="C14" s="256"/>
      <c r="D14" s="257" t="s">
        <v>49</v>
      </c>
      <c r="E14" s="156"/>
      <c r="F14" s="19" t="s">
        <v>50</v>
      </c>
      <c r="G14" s="19" t="s">
        <v>51</v>
      </c>
      <c r="H14" s="155" t="s">
        <v>52</v>
      </c>
      <c r="I14" s="156"/>
    </row>
    <row r="15" spans="2:25" ht="26.25" customHeight="1" thickTop="1">
      <c r="B15" s="157">
        <f>SUMIF($B$18:$B$41,"야근식대",$I$18:$I$41)+SUMIF('지출(법인)-1'!$B$5:$B$40,"야근식대",'지출(법인)-1'!$I$5:$I$40)+SUMIF($B$18:$B$41,"휴일식대",$I$18:$I$41)+SUMIF('지출(법인)-1'!$B$5:$B$40,"휴일식대",'지출(법인)-1'!$I$5:$I$40)+SUMIF('지출(법인)-2'!$B$5:$B$40,"야근식대",'지출(법인)-2'!$I$5:$I$40)+SUMIF('지출(법인)-2'!$B$5:$B$40,"휴일식대",'지출(법인)-2'!$I$5:$I$40)</f>
        <v>0</v>
      </c>
      <c r="C15" s="264"/>
      <c r="D15" s="265">
        <f>SUMIF($B$18:$B$41,"접대비",$I$18:$I$41)+SUMIF('지출(법인)-1'!$B$5:$B$40,"접대비",'지출(법인)-1'!$I$5:$I$40)+SUMIF('지출(법인)-2'!$B$5:$B$40,"접대비",'지출(법인)-2'!$I$5:$I$40)</f>
        <v>0</v>
      </c>
      <c r="E15" s="158"/>
      <c r="F15" s="85">
        <f>SUMIF($B$18:$B$41,"회식비",$I$18:$I$41)+SUMIF('지출(법인)-1'!$B$5:$B$40,"회식비",'지출(법인)-1'!$I$5:$I$40)+SUMIF('지출(법인)-2'!$B$5:$B$40,"회식비",'지출(법인)-2'!$I$5:$I$40)</f>
        <v>0</v>
      </c>
      <c r="G15" s="85">
        <f>SUMIF($B$18:$B$41,"회의식대",$I$18:$I$41)+SUMIF('지출(법인)-1'!$B$5:$B$40,"회의식대",'지출(법인)-1'!$I$5:$I$40)+SUMIF('지출(법인)-2'!$B$5:$B$40,"회의식대",'지출(법인)-2'!$I$5:$I$40)</f>
        <v>0</v>
      </c>
      <c r="H15" s="157">
        <f>SUMIF($B$18:$B$41,"우편물 발송",$I$18:$I$41)+SUMIF($B$18:$B$41,"택배비",I18:I41)+SUMIF($B$18:$B$41,"소모품비",$I$18:$I$41)+SUMIF($B$18:$B$41,"도서인쇄비",$I$18:$I$41)+SUMIF($B$18:$B$41,"지급수수료",$I$18:$I$41)+SUMIF($B$18:$B$41,"기타(법인카드)",$I$18:$I$41)+SUMIF('지출(법인)-1'!$B$5:$B$40,"우편물 발송",'지출(법인)-1'!$I$5:$I$40)+SUMIF('지출(법인)-1'!$B$5:$B$40,"택배비",'지출(법인)-1'!$I$5:$I$40)+SUMIF('지출(법인)-1'!$B$5:$B$40,"소모품비",'지출(법인)-1'!$I$5:$I$40)+SUMIF('지출(법인)-1'!$B$5:$B$40,"도서인쇄비",'지출(법인)-1'!$I$5:$I$40)+SUMIF('지출(법인)-1'!$B$5:$B$40,"지급수수료",'지출(법인)-1'!$I$5:$I$40)+SUMIF('지출(법인)-1'!$B$5:$B$40,"기타(법인카드)",'지출(법인)-1'!$I$5:$I$40)+SUMIF('지출(법인)-2'!$B$5:$B$40,"우편물 발송",'지출(법인)-2'!$I$5:$I$40)+SUMIF('지출(법인)-2'!$B$5:$B$40,"택배비",'지출(법인)-2'!$I$5:$I$40)+SUMIF('지출(법인)-2'!$B$5:$B$40,"소모품비",'지출(법인)-2'!$I$5:$I$40)+SUMIF('지출(법인)-2'!$B$5:$B$40,"도서인쇄비",'지출(법인)-2'!$I$5:$I$40)+SUMIF('지출(법인)-2'!$B$5:$B$40,"지급수수료",'지출(법인)-2'!$I$5:$I$40)+SUMIF('지출(법인)-2'!$B$5:$B$40,"기타(법인카드)",'지출(법인)-2'!$I$5:$I$40)</f>
        <v>0</v>
      </c>
      <c r="I15" s="158"/>
    </row>
    <row r="16" spans="2:25" ht="19.5" customHeight="1">
      <c r="B16" s="20" t="s">
        <v>11</v>
      </c>
      <c r="C16" s="21"/>
      <c r="D16" s="21"/>
      <c r="E16" s="22"/>
      <c r="F16" s="247" t="s">
        <v>59</v>
      </c>
      <c r="G16" s="247"/>
      <c r="H16" s="247"/>
      <c r="I16" s="247"/>
    </row>
    <row r="17" spans="2:19" ht="21.75" customHeight="1">
      <c r="B17" s="94" t="s">
        <v>1</v>
      </c>
      <c r="C17" s="93" t="s">
        <v>2</v>
      </c>
      <c r="D17" s="95" t="s">
        <v>7</v>
      </c>
      <c r="E17" s="159" t="s">
        <v>3</v>
      </c>
      <c r="F17" s="160"/>
      <c r="G17" s="159" t="s">
        <v>8</v>
      </c>
      <c r="H17" s="161"/>
      <c r="I17" s="94" t="s">
        <v>4</v>
      </c>
    </row>
    <row r="18" spans="2:19" ht="22.5" customHeight="1">
      <c r="B18" s="92"/>
      <c r="C18" s="92"/>
      <c r="D18" s="92"/>
      <c r="E18" s="246"/>
      <c r="F18" s="246"/>
      <c r="G18" s="246"/>
      <c r="H18" s="246"/>
      <c r="I18" s="35"/>
    </row>
    <row r="19" spans="2:19" ht="22.5" customHeight="1">
      <c r="B19" s="92"/>
      <c r="C19" s="92"/>
      <c r="D19" s="92"/>
      <c r="E19" s="246"/>
      <c r="F19" s="246"/>
      <c r="G19" s="246"/>
      <c r="H19" s="246"/>
      <c r="I19" s="35"/>
    </row>
    <row r="20" spans="2:19" ht="22.5" customHeight="1">
      <c r="B20" s="92"/>
      <c r="C20" s="92"/>
      <c r="D20" s="92"/>
      <c r="E20" s="246"/>
      <c r="F20" s="246"/>
      <c r="G20" s="246"/>
      <c r="H20" s="246"/>
      <c r="I20" s="35"/>
    </row>
    <row r="21" spans="2:19" ht="22.5" customHeight="1">
      <c r="B21" s="92"/>
      <c r="C21" s="92"/>
      <c r="D21" s="92"/>
      <c r="E21" s="246"/>
      <c r="F21" s="246"/>
      <c r="G21" s="246"/>
      <c r="H21" s="246"/>
      <c r="I21" s="35"/>
    </row>
    <row r="22" spans="2:19" ht="22.5" customHeight="1">
      <c r="B22" s="92"/>
      <c r="C22" s="92"/>
      <c r="D22" s="92"/>
      <c r="E22" s="246"/>
      <c r="F22" s="246"/>
      <c r="G22" s="246"/>
      <c r="H22" s="246"/>
      <c r="I22" s="35"/>
    </row>
    <row r="23" spans="2:19" ht="22.5" customHeight="1">
      <c r="B23" s="92"/>
      <c r="C23" s="92"/>
      <c r="D23" s="92"/>
      <c r="E23" s="246"/>
      <c r="F23" s="246"/>
      <c r="G23" s="246"/>
      <c r="H23" s="246"/>
      <c r="I23" s="35"/>
    </row>
    <row r="24" spans="2:19" ht="22.5" customHeight="1">
      <c r="B24" s="92"/>
      <c r="C24" s="92"/>
      <c r="D24" s="92"/>
      <c r="E24" s="246"/>
      <c r="F24" s="246"/>
      <c r="G24" s="246"/>
      <c r="H24" s="246"/>
      <c r="I24" s="35"/>
    </row>
    <row r="25" spans="2:19" ht="22.5" customHeight="1">
      <c r="B25" s="92"/>
      <c r="C25" s="92"/>
      <c r="D25" s="92"/>
      <c r="E25" s="246"/>
      <c r="F25" s="246"/>
      <c r="G25" s="246"/>
      <c r="H25" s="246"/>
      <c r="I25" s="35"/>
      <c r="L25" s="25"/>
    </row>
    <row r="26" spans="2:19" ht="22.5" customHeight="1">
      <c r="B26" s="92"/>
      <c r="C26" s="92"/>
      <c r="D26" s="92"/>
      <c r="E26" s="246"/>
      <c r="F26" s="246"/>
      <c r="G26" s="246"/>
      <c r="H26" s="246"/>
      <c r="I26" s="35"/>
    </row>
    <row r="27" spans="2:19" ht="22.5" customHeight="1">
      <c r="B27" s="92"/>
      <c r="C27" s="92"/>
      <c r="D27" s="92"/>
      <c r="E27" s="246"/>
      <c r="F27" s="246"/>
      <c r="G27" s="246"/>
      <c r="H27" s="246"/>
      <c r="I27" s="35"/>
      <c r="L27" s="14" t="s">
        <v>32</v>
      </c>
    </row>
    <row r="28" spans="2:19" ht="22.5" customHeight="1">
      <c r="B28" s="92"/>
      <c r="C28" s="92"/>
      <c r="D28" s="92"/>
      <c r="E28" s="246"/>
      <c r="F28" s="246"/>
      <c r="G28" s="246"/>
      <c r="H28" s="246"/>
      <c r="I28" s="35"/>
    </row>
    <row r="29" spans="2:19" ht="22.5" customHeight="1">
      <c r="B29" s="86"/>
      <c r="C29" s="86"/>
      <c r="D29" s="86"/>
      <c r="E29" s="188"/>
      <c r="F29" s="188"/>
      <c r="G29" s="188"/>
      <c r="H29" s="188"/>
      <c r="I29" s="35"/>
    </row>
    <row r="30" spans="2:19" ht="22.5" customHeight="1">
      <c r="B30" s="86"/>
      <c r="C30" s="86"/>
      <c r="D30" s="86"/>
      <c r="E30" s="188"/>
      <c r="F30" s="188"/>
      <c r="G30" s="188"/>
      <c r="H30" s="188"/>
      <c r="I30" s="35"/>
    </row>
    <row r="31" spans="2:19" ht="22.5" customHeight="1">
      <c r="B31" s="86"/>
      <c r="C31" s="86"/>
      <c r="D31" s="86"/>
      <c r="E31" s="188"/>
      <c r="F31" s="188"/>
      <c r="G31" s="188"/>
      <c r="H31" s="188"/>
      <c r="I31" s="35"/>
      <c r="L31" s="26"/>
      <c r="M31" s="26"/>
      <c r="N31" s="26"/>
      <c r="O31" s="26"/>
      <c r="P31" s="26"/>
      <c r="Q31" s="26"/>
      <c r="R31" s="26"/>
      <c r="S31" s="26"/>
    </row>
    <row r="32" spans="2:19" ht="22.5" customHeight="1">
      <c r="B32" s="86"/>
      <c r="C32" s="86"/>
      <c r="D32" s="86"/>
      <c r="E32" s="188"/>
      <c r="F32" s="188"/>
      <c r="G32" s="188"/>
      <c r="H32" s="188"/>
      <c r="I32" s="35"/>
      <c r="L32" s="26"/>
      <c r="M32" s="26"/>
      <c r="N32" s="26"/>
      <c r="O32" s="26"/>
      <c r="P32" s="26"/>
      <c r="Q32" s="26"/>
      <c r="R32" s="26"/>
      <c r="S32" s="26"/>
    </row>
    <row r="33" spans="1:25" ht="22.5" customHeight="1">
      <c r="B33" s="86"/>
      <c r="C33" s="86"/>
      <c r="D33" s="86"/>
      <c r="E33" s="188"/>
      <c r="F33" s="188"/>
      <c r="G33" s="188"/>
      <c r="H33" s="188"/>
      <c r="I33" s="35"/>
    </row>
    <row r="34" spans="1:25" s="26" customFormat="1" ht="22.5" customHeight="1">
      <c r="A34" s="27"/>
      <c r="B34" s="86"/>
      <c r="C34" s="86"/>
      <c r="D34" s="86"/>
      <c r="E34" s="188"/>
      <c r="F34" s="188"/>
      <c r="G34" s="188"/>
      <c r="H34" s="188"/>
      <c r="I34" s="35"/>
      <c r="J34" s="27"/>
      <c r="Y34" s="123"/>
    </row>
    <row r="35" spans="1:25" s="26" customFormat="1" ht="22.5" customHeight="1">
      <c r="A35" s="27"/>
      <c r="B35" s="86"/>
      <c r="C35" s="86"/>
      <c r="D35" s="86"/>
      <c r="E35" s="188"/>
      <c r="F35" s="188"/>
      <c r="G35" s="188"/>
      <c r="H35" s="188"/>
      <c r="I35" s="35"/>
      <c r="J35" s="27"/>
      <c r="Y35" s="123"/>
    </row>
    <row r="36" spans="1:25" s="26" customFormat="1" ht="22.5" customHeight="1">
      <c r="A36" s="27"/>
      <c r="B36" s="86"/>
      <c r="C36" s="86"/>
      <c r="D36" s="86"/>
      <c r="E36" s="188"/>
      <c r="F36" s="188"/>
      <c r="G36" s="188"/>
      <c r="H36" s="188"/>
      <c r="I36" s="35"/>
      <c r="J36" s="27"/>
      <c r="Y36" s="123"/>
    </row>
    <row r="37" spans="1:25" s="26" customFormat="1" ht="22.5" customHeight="1">
      <c r="B37" s="86"/>
      <c r="C37" s="86"/>
      <c r="D37" s="86"/>
      <c r="E37" s="188"/>
      <c r="F37" s="188"/>
      <c r="G37" s="188"/>
      <c r="H37" s="188"/>
      <c r="I37" s="35"/>
      <c r="Y37" s="123"/>
    </row>
    <row r="38" spans="1:25" s="26" customFormat="1" ht="22.5" customHeight="1">
      <c r="B38" s="86"/>
      <c r="C38" s="86"/>
      <c r="D38" s="86"/>
      <c r="E38" s="188"/>
      <c r="F38" s="188"/>
      <c r="G38" s="188"/>
      <c r="H38" s="188"/>
      <c r="I38" s="35"/>
      <c r="Y38" s="123"/>
    </row>
    <row r="39" spans="1:25" s="26" customFormat="1" ht="22.5" customHeight="1">
      <c r="B39" s="86"/>
      <c r="C39" s="86"/>
      <c r="D39" s="86"/>
      <c r="E39" s="188"/>
      <c r="F39" s="188"/>
      <c r="G39" s="188"/>
      <c r="H39" s="188"/>
      <c r="I39" s="35"/>
      <c r="Y39" s="123"/>
    </row>
    <row r="40" spans="1:25" s="26" customFormat="1" ht="22.5" customHeight="1">
      <c r="B40" s="86"/>
      <c r="C40" s="86"/>
      <c r="D40" s="86"/>
      <c r="E40" s="188"/>
      <c r="F40" s="188"/>
      <c r="G40" s="188"/>
      <c r="H40" s="188"/>
      <c r="I40" s="35"/>
      <c r="Y40" s="123"/>
    </row>
    <row r="41" spans="1:25" s="26" customFormat="1" ht="22.5" customHeight="1">
      <c r="B41" s="87"/>
      <c r="C41" s="87"/>
      <c r="D41" s="87"/>
      <c r="E41" s="185"/>
      <c r="F41" s="186"/>
      <c r="G41" s="185"/>
      <c r="H41" s="187"/>
      <c r="I41" s="37"/>
      <c r="Y41" s="123"/>
    </row>
    <row r="42" spans="1:25" s="26" customFormat="1" ht="3.75" customHeight="1">
      <c r="B42" s="28"/>
      <c r="C42" s="28"/>
      <c r="D42" s="28"/>
      <c r="E42" s="28"/>
      <c r="F42" s="29"/>
      <c r="G42" s="23"/>
      <c r="H42" s="29"/>
      <c r="I42" s="30"/>
      <c r="Y42" s="123"/>
    </row>
    <row r="43" spans="1:25" ht="6" customHeight="1" thickBot="1">
      <c r="B43" s="75"/>
      <c r="C43" s="75"/>
      <c r="D43" s="75"/>
      <c r="E43" s="75"/>
      <c r="F43" s="75"/>
      <c r="G43" s="75"/>
      <c r="H43" s="75"/>
      <c r="I43" s="75"/>
    </row>
    <row r="44" spans="1:25" ht="27" customHeight="1" thickTop="1">
      <c r="A44" s="100"/>
      <c r="B44" s="163" t="s">
        <v>57</v>
      </c>
      <c r="C44" s="163"/>
      <c r="D44" s="163"/>
      <c r="E44" s="163"/>
      <c r="F44" s="101"/>
      <c r="G44" s="31"/>
      <c r="H44" s="31"/>
      <c r="I44" s="33" t="s">
        <v>0</v>
      </c>
    </row>
    <row r="45" spans="1:25" s="100" customFormat="1" ht="17" customHeight="1">
      <c r="B45" s="127"/>
      <c r="C45" s="127"/>
      <c r="D45" s="128"/>
      <c r="E45" s="129"/>
      <c r="F45" s="101"/>
      <c r="G45" s="129"/>
      <c r="H45" s="129"/>
      <c r="I45" s="101"/>
    </row>
    <row r="46" spans="1:25" s="100" customFormat="1" ht="17.5">
      <c r="B46" s="140" t="s">
        <v>211</v>
      </c>
      <c r="C46" s="137"/>
      <c r="D46" s="137"/>
      <c r="E46" s="129"/>
      <c r="F46" s="101"/>
      <c r="G46" s="129"/>
      <c r="H46" s="129"/>
      <c r="I46" s="101"/>
    </row>
    <row r="47" spans="1:25" s="100" customFormat="1" ht="17.5">
      <c r="B47" s="140" t="s">
        <v>268</v>
      </c>
      <c r="C47" s="137"/>
      <c r="D47" s="137"/>
      <c r="E47" s="129"/>
      <c r="F47" s="101"/>
      <c r="G47" s="129"/>
      <c r="H47" s="129"/>
      <c r="I47" s="101"/>
    </row>
    <row r="48" spans="1:25" s="100" customFormat="1" ht="15" customHeight="1">
      <c r="B48" s="140" t="s">
        <v>464</v>
      </c>
      <c r="C48" s="137"/>
      <c r="D48" s="137"/>
      <c r="F48" s="102"/>
      <c r="G48" s="102"/>
      <c r="H48" s="102"/>
    </row>
    <row r="49" spans="2:8" s="100" customFormat="1" ht="15" customHeight="1">
      <c r="B49" s="140" t="s">
        <v>333</v>
      </c>
      <c r="C49" s="137"/>
      <c r="D49" s="137"/>
      <c r="H49" s="102"/>
    </row>
    <row r="50" spans="2:8" s="100" customFormat="1" ht="15" customHeight="1">
      <c r="B50" s="140" t="s">
        <v>242</v>
      </c>
      <c r="C50" s="137"/>
      <c r="D50" s="137"/>
      <c r="H50" s="102"/>
    </row>
    <row r="51" spans="2:8" s="100" customFormat="1" ht="15" customHeight="1">
      <c r="B51" s="140" t="s">
        <v>381</v>
      </c>
      <c r="C51" s="137"/>
      <c r="D51" s="137"/>
      <c r="H51" s="102"/>
    </row>
    <row r="52" spans="2:8" s="100" customFormat="1" ht="15" customHeight="1">
      <c r="B52" s="140" t="s">
        <v>382</v>
      </c>
      <c r="C52" s="137"/>
      <c r="D52" s="137"/>
    </row>
    <row r="53" spans="2:8" s="100" customFormat="1" ht="15" customHeight="1">
      <c r="B53" s="140" t="s">
        <v>335</v>
      </c>
      <c r="C53" s="137"/>
      <c r="D53" s="137"/>
    </row>
    <row r="54" spans="2:8" s="100" customFormat="1" ht="15" customHeight="1">
      <c r="B54" s="140" t="s">
        <v>383</v>
      </c>
      <c r="C54" s="137"/>
      <c r="D54" s="137"/>
    </row>
    <row r="55" spans="2:8" s="100" customFormat="1" ht="15" customHeight="1">
      <c r="B55" s="140" t="s">
        <v>384</v>
      </c>
      <c r="C55" s="137"/>
      <c r="D55" s="137"/>
    </row>
    <row r="56" spans="2:8" s="100" customFormat="1" ht="15" customHeight="1">
      <c r="B56" s="140" t="s">
        <v>349</v>
      </c>
    </row>
    <row r="57" spans="2:8" s="100" customFormat="1" ht="15" customHeight="1">
      <c r="B57" s="140" t="s">
        <v>504</v>
      </c>
    </row>
    <row r="58" spans="2:8" s="100" customFormat="1" ht="15" customHeight="1">
      <c r="B58" s="140" t="s">
        <v>307</v>
      </c>
      <c r="C58" s="137"/>
      <c r="D58" s="137"/>
    </row>
    <row r="59" spans="2:8" s="100" customFormat="1" ht="15" customHeight="1">
      <c r="B59" s="140" t="s">
        <v>330</v>
      </c>
      <c r="C59" s="137"/>
      <c r="D59" s="137"/>
    </row>
    <row r="60" spans="2:8" s="100" customFormat="1" ht="15" customHeight="1">
      <c r="B60" s="140" t="s">
        <v>385</v>
      </c>
      <c r="C60" s="137"/>
      <c r="D60" s="137"/>
    </row>
    <row r="61" spans="2:8" s="100" customFormat="1" ht="15" customHeight="1">
      <c r="B61" s="140" t="s">
        <v>470</v>
      </c>
      <c r="C61" s="137"/>
      <c r="D61" s="137"/>
    </row>
    <row r="62" spans="2:8" s="100" customFormat="1" ht="15" customHeight="1">
      <c r="B62" s="140" t="s">
        <v>341</v>
      </c>
      <c r="C62" s="137"/>
      <c r="D62" s="137"/>
    </row>
    <row r="63" spans="2:8" s="100" customFormat="1" ht="15" customHeight="1">
      <c r="B63" s="140" t="s">
        <v>386</v>
      </c>
      <c r="C63" s="137"/>
      <c r="D63" s="137"/>
    </row>
    <row r="64" spans="2:8" s="100" customFormat="1" ht="15" customHeight="1">
      <c r="B64" s="140" t="s">
        <v>325</v>
      </c>
      <c r="C64" s="137"/>
      <c r="D64" s="137"/>
    </row>
    <row r="65" spans="2:4" s="100" customFormat="1" ht="15" customHeight="1">
      <c r="B65" s="140" t="s">
        <v>82</v>
      </c>
      <c r="C65" s="137"/>
      <c r="D65" s="137"/>
    </row>
    <row r="66" spans="2:4" s="100" customFormat="1" ht="15" customHeight="1">
      <c r="B66" s="140" t="s">
        <v>235</v>
      </c>
      <c r="C66" s="137"/>
      <c r="D66" s="137"/>
    </row>
    <row r="67" spans="2:4" s="100" customFormat="1" ht="15" customHeight="1">
      <c r="B67" s="140" t="s">
        <v>83</v>
      </c>
      <c r="C67" s="137"/>
      <c r="D67" s="137"/>
    </row>
    <row r="68" spans="2:4" s="100" customFormat="1" ht="15" customHeight="1">
      <c r="B68" s="140" t="s">
        <v>212</v>
      </c>
      <c r="C68" s="137"/>
      <c r="D68" s="137"/>
    </row>
    <row r="69" spans="2:4" s="100" customFormat="1" ht="15" customHeight="1">
      <c r="B69" s="140" t="s">
        <v>351</v>
      </c>
      <c r="C69" s="137"/>
      <c r="D69" s="137"/>
    </row>
    <row r="70" spans="2:4" s="100" customFormat="1" ht="15" customHeight="1">
      <c r="B70" s="140" t="s">
        <v>85</v>
      </c>
      <c r="C70" s="137"/>
      <c r="D70" s="137"/>
    </row>
    <row r="71" spans="2:4" s="100" customFormat="1" ht="15" customHeight="1">
      <c r="B71" s="140" t="s">
        <v>387</v>
      </c>
      <c r="C71" s="137"/>
      <c r="D71" s="137"/>
    </row>
    <row r="72" spans="2:4" s="100" customFormat="1" ht="15" customHeight="1">
      <c r="B72" s="140" t="s">
        <v>259</v>
      </c>
      <c r="C72" s="137"/>
      <c r="D72" s="138"/>
    </row>
    <row r="73" spans="2:4" s="100" customFormat="1" ht="15" customHeight="1">
      <c r="B73" s="140" t="s">
        <v>388</v>
      </c>
      <c r="C73" s="137"/>
      <c r="D73" s="137"/>
    </row>
    <row r="74" spans="2:4" s="100" customFormat="1" ht="15" customHeight="1">
      <c r="B74" s="140" t="s">
        <v>389</v>
      </c>
      <c r="C74" s="137"/>
      <c r="D74" s="137"/>
    </row>
    <row r="75" spans="2:4" s="100" customFormat="1" ht="15" customHeight="1">
      <c r="B75" s="140" t="s">
        <v>276</v>
      </c>
      <c r="C75" s="137"/>
      <c r="D75" s="137"/>
    </row>
    <row r="76" spans="2:4" s="100" customFormat="1" ht="15" customHeight="1">
      <c r="B76" s="140" t="s">
        <v>355</v>
      </c>
      <c r="C76" s="137"/>
      <c r="D76" s="137"/>
    </row>
    <row r="77" spans="2:4" s="100" customFormat="1" ht="15" customHeight="1">
      <c r="B77" s="140" t="s">
        <v>390</v>
      </c>
      <c r="C77" s="137"/>
      <c r="D77" s="137"/>
    </row>
    <row r="78" spans="2:4" s="100" customFormat="1" ht="15" customHeight="1">
      <c r="B78" s="140" t="s">
        <v>89</v>
      </c>
      <c r="C78" s="137"/>
      <c r="D78" s="137"/>
    </row>
    <row r="79" spans="2:4" s="100" customFormat="1" ht="15" customHeight="1">
      <c r="B79" s="140" t="s">
        <v>391</v>
      </c>
      <c r="C79" s="137"/>
      <c r="D79" s="137"/>
    </row>
    <row r="80" spans="2:4" s="100" customFormat="1" ht="15" customHeight="1">
      <c r="B80" s="140" t="s">
        <v>353</v>
      </c>
      <c r="C80" s="137"/>
      <c r="D80" s="137"/>
    </row>
    <row r="81" spans="1:25" s="100" customFormat="1" ht="15" customHeight="1">
      <c r="B81" s="140" t="s">
        <v>495</v>
      </c>
      <c r="C81" s="137"/>
      <c r="D81" s="137"/>
    </row>
    <row r="82" spans="1:25" s="100" customFormat="1" ht="15" customHeight="1">
      <c r="B82" s="140" t="s">
        <v>354</v>
      </c>
      <c r="C82" s="137"/>
      <c r="D82" s="137"/>
    </row>
    <row r="83" spans="1:25" s="100" customFormat="1" ht="15" customHeight="1">
      <c r="B83" s="140" t="s">
        <v>292</v>
      </c>
      <c r="C83" s="137"/>
      <c r="D83" s="137"/>
    </row>
    <row r="84" spans="1:25" s="100" customFormat="1" ht="15" customHeight="1">
      <c r="B84" s="140" t="s">
        <v>484</v>
      </c>
      <c r="C84" s="137"/>
      <c r="D84" s="137"/>
    </row>
    <row r="85" spans="1:25" s="100" customFormat="1" ht="15" customHeight="1">
      <c r="B85" s="140" t="s">
        <v>392</v>
      </c>
      <c r="C85" s="137"/>
      <c r="D85" s="137"/>
    </row>
    <row r="86" spans="1:25" s="100" customFormat="1" ht="15" customHeight="1">
      <c r="B86" s="140" t="s">
        <v>327</v>
      </c>
      <c r="C86" s="137"/>
      <c r="D86" s="137"/>
    </row>
    <row r="87" spans="1:25" s="100" customFormat="1" ht="15" customHeight="1">
      <c r="B87" s="140" t="s">
        <v>338</v>
      </c>
      <c r="C87" s="137"/>
      <c r="D87" s="137"/>
    </row>
    <row r="88" spans="1:25" s="100" customFormat="1" ht="15" customHeight="1">
      <c r="B88" s="140" t="s">
        <v>337</v>
      </c>
      <c r="C88" s="137"/>
      <c r="D88" s="137"/>
    </row>
    <row r="89" spans="1:25" s="100" customFormat="1" ht="15" customHeight="1">
      <c r="B89" s="140" t="s">
        <v>393</v>
      </c>
      <c r="C89" s="137"/>
      <c r="D89" s="137"/>
    </row>
    <row r="90" spans="1:25" s="100" customFormat="1" ht="15" customHeight="1">
      <c r="B90" s="140" t="s">
        <v>394</v>
      </c>
      <c r="C90" s="137"/>
      <c r="D90" s="137"/>
    </row>
    <row r="91" spans="1:25" s="100" customFormat="1" ht="15" customHeight="1">
      <c r="B91" s="140" t="s">
        <v>257</v>
      </c>
      <c r="C91" s="137"/>
      <c r="D91" s="137"/>
    </row>
    <row r="92" spans="1:25" s="100" customFormat="1" ht="15" customHeight="1">
      <c r="B92" s="140" t="s">
        <v>319</v>
      </c>
      <c r="C92" s="137"/>
      <c r="D92" s="137"/>
    </row>
    <row r="93" spans="1:25" s="100" customFormat="1" ht="15" customHeight="1">
      <c r="B93" s="140" t="s">
        <v>352</v>
      </c>
      <c r="C93" s="137"/>
      <c r="D93" s="137"/>
    </row>
    <row r="94" spans="1:25" s="100" customFormat="1" ht="15" customHeight="1">
      <c r="B94" s="140" t="s">
        <v>328</v>
      </c>
      <c r="C94" s="137"/>
      <c r="D94" s="137"/>
      <c r="E94" s="102"/>
    </row>
    <row r="95" spans="1:25" s="100" customFormat="1" ht="15" customHeight="1">
      <c r="A95" s="137"/>
      <c r="B95" s="140" t="s">
        <v>310</v>
      </c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spans="1:25" s="100" customFormat="1" ht="15" customHeight="1">
      <c r="A96" s="137"/>
      <c r="B96" s="140" t="s">
        <v>477</v>
      </c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spans="1:25" s="100" customFormat="1" ht="15" customHeight="1">
      <c r="B97" s="140" t="s">
        <v>301</v>
      </c>
      <c r="C97" s="137"/>
      <c r="D97" s="137"/>
    </row>
    <row r="98" spans="1:25" s="100" customFormat="1" ht="15" customHeight="1">
      <c r="A98" s="137"/>
      <c r="B98" s="140" t="s">
        <v>494</v>
      </c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spans="1:25" s="100" customFormat="1" ht="15" customHeight="1">
      <c r="B99" s="140" t="s">
        <v>297</v>
      </c>
      <c r="C99" s="137"/>
      <c r="D99" s="137"/>
    </row>
    <row r="100" spans="1:25" s="100" customFormat="1" ht="15" customHeight="1">
      <c r="B100" s="140" t="s">
        <v>395</v>
      </c>
      <c r="C100" s="137"/>
      <c r="D100" s="137"/>
    </row>
    <row r="101" spans="1:25" s="100" customFormat="1" ht="15" customHeight="1">
      <c r="B101" s="140" t="s">
        <v>289</v>
      </c>
      <c r="C101" s="137"/>
      <c r="D101" s="137"/>
    </row>
    <row r="102" spans="1:25" s="100" customFormat="1" ht="15" customHeight="1">
      <c r="B102" s="140" t="s">
        <v>287</v>
      </c>
      <c r="C102" s="137"/>
      <c r="D102" s="137"/>
    </row>
    <row r="103" spans="1:25" s="100" customFormat="1" ht="15" customHeight="1">
      <c r="B103" s="140" t="s">
        <v>342</v>
      </c>
      <c r="C103" s="137"/>
      <c r="D103" s="137"/>
    </row>
    <row r="104" spans="1:25" s="100" customFormat="1" ht="15" customHeight="1">
      <c r="B104" s="140" t="s">
        <v>396</v>
      </c>
      <c r="C104" s="137"/>
      <c r="D104" s="137"/>
    </row>
    <row r="105" spans="1:25" s="100" customFormat="1" ht="15" customHeight="1">
      <c r="B105" s="140" t="s">
        <v>356</v>
      </c>
      <c r="C105" s="137"/>
      <c r="D105" s="137"/>
    </row>
    <row r="106" spans="1:25" s="100" customFormat="1" ht="15" customHeight="1">
      <c r="B106" s="140" t="s">
        <v>469</v>
      </c>
      <c r="C106" s="137"/>
      <c r="D106" s="137"/>
    </row>
    <row r="107" spans="1:25" s="100" customFormat="1" ht="15" customHeight="1">
      <c r="B107" s="140" t="s">
        <v>465</v>
      </c>
      <c r="C107" s="137"/>
      <c r="D107" s="137"/>
    </row>
    <row r="108" spans="1:25" s="100" customFormat="1" ht="15" customHeight="1">
      <c r="B108" s="140" t="s">
        <v>324</v>
      </c>
      <c r="C108" s="137"/>
      <c r="D108" s="137"/>
    </row>
    <row r="109" spans="1:25" s="100" customFormat="1" ht="15" customHeight="1">
      <c r="B109" s="140" t="s">
        <v>397</v>
      </c>
      <c r="C109" s="137"/>
      <c r="D109" s="137"/>
      <c r="H109" s="139"/>
      <c r="I109" s="139"/>
    </row>
    <row r="110" spans="1:25" s="100" customFormat="1" ht="15" customHeight="1">
      <c r="B110" s="140" t="s">
        <v>471</v>
      </c>
      <c r="C110" s="137"/>
      <c r="D110" s="137"/>
      <c r="H110" s="139"/>
      <c r="I110" s="139"/>
    </row>
    <row r="111" spans="1:25" s="100" customFormat="1" ht="15" customHeight="1">
      <c r="B111" s="140" t="s">
        <v>398</v>
      </c>
      <c r="C111" s="137"/>
      <c r="D111" s="137"/>
      <c r="H111" s="139"/>
      <c r="I111" s="139"/>
    </row>
    <row r="112" spans="1:25" s="100" customFormat="1" ht="15" customHeight="1">
      <c r="B112" s="140" t="s">
        <v>399</v>
      </c>
      <c r="C112" s="137"/>
      <c r="D112" s="137"/>
      <c r="H112" s="139"/>
      <c r="I112" s="139"/>
    </row>
    <row r="113" spans="1:25" s="100" customFormat="1" ht="15" customHeight="1">
      <c r="B113" s="140" t="s">
        <v>347</v>
      </c>
      <c r="C113" s="137"/>
      <c r="D113" s="137"/>
      <c r="H113" s="139"/>
      <c r="I113" s="139"/>
    </row>
    <row r="114" spans="1:25" s="100" customFormat="1" ht="15" customHeight="1">
      <c r="B114" s="140" t="s">
        <v>400</v>
      </c>
      <c r="C114" s="137"/>
      <c r="D114" s="128"/>
    </row>
    <row r="115" spans="1:25" s="100" customFormat="1" ht="15" customHeight="1">
      <c r="A115" s="137"/>
      <c r="B115" s="140" t="s">
        <v>210</v>
      </c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spans="1:25" s="100" customFormat="1" ht="15" customHeight="1">
      <c r="A116" s="137"/>
      <c r="B116" s="140" t="s">
        <v>478</v>
      </c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spans="1:25" s="100" customFormat="1" ht="15" customHeight="1">
      <c r="A117" s="137"/>
      <c r="B117" s="140" t="s">
        <v>348</v>
      </c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spans="1:25" s="100" customFormat="1" ht="15" customHeight="1">
      <c r="B118" s="140" t="s">
        <v>401</v>
      </c>
      <c r="C118" s="137"/>
      <c r="D118" s="137"/>
    </row>
    <row r="119" spans="1:25" s="100" customFormat="1" ht="15" customHeight="1">
      <c r="B119" s="140" t="s">
        <v>402</v>
      </c>
      <c r="C119" s="137"/>
      <c r="D119" s="137"/>
    </row>
    <row r="120" spans="1:25" s="100" customFormat="1" ht="15" customHeight="1">
      <c r="A120" s="137"/>
      <c r="B120" s="140" t="s">
        <v>403</v>
      </c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spans="1:25" s="100" customFormat="1" ht="15" customHeight="1">
      <c r="B121" s="140" t="s">
        <v>106</v>
      </c>
      <c r="C121" s="137"/>
      <c r="D121" s="137"/>
    </row>
    <row r="122" spans="1:25" s="100" customFormat="1" ht="15" customHeight="1">
      <c r="A122" s="137"/>
      <c r="B122" s="140" t="s">
        <v>298</v>
      </c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spans="1:25" s="100" customFormat="1" ht="15" customHeight="1">
      <c r="A123" s="137"/>
      <c r="B123" s="140" t="s">
        <v>487</v>
      </c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spans="1:25" s="100" customFormat="1" ht="15" customHeight="1">
      <c r="A124" s="137"/>
      <c r="B124" s="140" t="s">
        <v>485</v>
      </c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spans="1:25" s="100" customFormat="1" ht="15" customHeight="1">
      <c r="A125" s="137"/>
      <c r="B125" s="140" t="s">
        <v>404</v>
      </c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spans="1:25" s="100" customFormat="1" ht="15" customHeight="1">
      <c r="B126" s="140" t="s">
        <v>506</v>
      </c>
      <c r="C126" s="137"/>
      <c r="D126" s="137"/>
    </row>
    <row r="127" spans="1:25" s="100" customFormat="1" ht="15" customHeight="1">
      <c r="B127" s="140" t="s">
        <v>296</v>
      </c>
      <c r="C127" s="137"/>
      <c r="D127" s="137"/>
    </row>
    <row r="128" spans="1:25" s="100" customFormat="1" ht="15" customHeight="1">
      <c r="B128" s="140" t="s">
        <v>505</v>
      </c>
      <c r="C128" s="137"/>
      <c r="D128" s="137"/>
    </row>
    <row r="129" spans="2:4" s="100" customFormat="1" ht="15" customHeight="1">
      <c r="B129" s="140" t="s">
        <v>360</v>
      </c>
      <c r="C129" s="137"/>
      <c r="D129" s="137"/>
    </row>
    <row r="130" spans="2:4" s="100" customFormat="1" ht="15" customHeight="1">
      <c r="B130" s="140" t="s">
        <v>405</v>
      </c>
      <c r="C130" s="137"/>
      <c r="D130" s="137"/>
    </row>
    <row r="131" spans="2:4" s="100" customFormat="1" ht="15" customHeight="1">
      <c r="B131" s="140" t="s">
        <v>406</v>
      </c>
      <c r="C131" s="137"/>
      <c r="D131" s="137"/>
    </row>
    <row r="132" spans="2:4" s="100" customFormat="1" ht="15" customHeight="1">
      <c r="B132" s="140" t="s">
        <v>493</v>
      </c>
      <c r="C132" s="137"/>
      <c r="D132" s="137"/>
    </row>
    <row r="133" spans="2:4" s="100" customFormat="1" ht="15" customHeight="1">
      <c r="B133" s="140" t="s">
        <v>407</v>
      </c>
      <c r="C133" s="137"/>
      <c r="D133" s="137"/>
    </row>
    <row r="134" spans="2:4" s="100" customFormat="1" ht="15" customHeight="1">
      <c r="B134" s="140" t="s">
        <v>408</v>
      </c>
      <c r="C134" s="137"/>
      <c r="D134" s="137"/>
    </row>
    <row r="135" spans="2:4" s="100" customFormat="1" ht="15" customHeight="1">
      <c r="B135" s="140" t="s">
        <v>409</v>
      </c>
      <c r="C135" s="137"/>
      <c r="D135" s="137"/>
    </row>
    <row r="136" spans="2:4" s="100" customFormat="1" ht="15" customHeight="1">
      <c r="B136" s="140" t="s">
        <v>264</v>
      </c>
      <c r="C136" s="137"/>
      <c r="D136" s="137"/>
    </row>
    <row r="137" spans="2:4" s="100" customFormat="1" ht="15" customHeight="1">
      <c r="B137" s="140" t="s">
        <v>344</v>
      </c>
      <c r="C137" s="137"/>
      <c r="D137" s="137"/>
    </row>
    <row r="138" spans="2:4" s="100" customFormat="1" ht="15" customHeight="1">
      <c r="B138" s="140" t="s">
        <v>208</v>
      </c>
      <c r="C138" s="137"/>
      <c r="D138" s="137"/>
    </row>
    <row r="139" spans="2:4" s="100" customFormat="1" ht="15" customHeight="1">
      <c r="B139" s="140" t="s">
        <v>410</v>
      </c>
      <c r="C139" s="137"/>
      <c r="D139" s="137"/>
    </row>
    <row r="140" spans="2:4" s="100" customFormat="1" ht="15" customHeight="1">
      <c r="B140" s="140" t="s">
        <v>261</v>
      </c>
      <c r="C140" s="137"/>
      <c r="D140" s="137"/>
    </row>
    <row r="141" spans="2:4" s="100" customFormat="1" ht="15" customHeight="1">
      <c r="B141" s="140" t="s">
        <v>411</v>
      </c>
      <c r="C141" s="137"/>
      <c r="D141" s="137"/>
    </row>
    <row r="142" spans="2:4" s="100" customFormat="1" ht="15" customHeight="1">
      <c r="B142" s="140" t="s">
        <v>314</v>
      </c>
      <c r="C142" s="137"/>
      <c r="D142" s="137"/>
    </row>
    <row r="143" spans="2:4" s="100" customFormat="1" ht="15" customHeight="1">
      <c r="B143" s="140" t="s">
        <v>412</v>
      </c>
      <c r="C143" s="137"/>
      <c r="D143" s="137"/>
    </row>
    <row r="144" spans="2:4" s="100" customFormat="1" ht="15" customHeight="1">
      <c r="B144" s="140" t="s">
        <v>413</v>
      </c>
      <c r="C144" s="137"/>
      <c r="D144" s="137"/>
    </row>
    <row r="145" spans="2:4" s="100" customFormat="1" ht="15" customHeight="1">
      <c r="B145" s="140" t="s">
        <v>215</v>
      </c>
      <c r="C145" s="137"/>
      <c r="D145" s="137"/>
    </row>
    <row r="146" spans="2:4" s="100" customFormat="1" ht="15" customHeight="1">
      <c r="B146" s="140" t="s">
        <v>359</v>
      </c>
      <c r="C146" s="137"/>
      <c r="D146" s="137"/>
    </row>
    <row r="147" spans="2:4" s="100" customFormat="1" ht="15" customHeight="1">
      <c r="B147" s="140" t="s">
        <v>303</v>
      </c>
      <c r="C147" s="137"/>
      <c r="D147" s="137"/>
    </row>
    <row r="148" spans="2:4" s="100" customFormat="1" ht="15" customHeight="1">
      <c r="B148" s="140" t="s">
        <v>414</v>
      </c>
      <c r="C148" s="137"/>
      <c r="D148" s="137"/>
    </row>
    <row r="149" spans="2:4" s="100" customFormat="1" ht="15" customHeight="1">
      <c r="B149" s="140" t="s">
        <v>416</v>
      </c>
      <c r="C149" s="137"/>
      <c r="D149" s="137"/>
    </row>
    <row r="150" spans="2:4" s="100" customFormat="1" ht="15" customHeight="1">
      <c r="B150" s="140" t="s">
        <v>415</v>
      </c>
      <c r="C150" s="137"/>
      <c r="D150" s="137"/>
    </row>
    <row r="151" spans="2:4" s="100" customFormat="1" ht="15" customHeight="1">
      <c r="B151" s="140" t="s">
        <v>417</v>
      </c>
      <c r="C151" s="137"/>
      <c r="D151" s="137"/>
    </row>
    <row r="152" spans="2:4" s="100" customFormat="1" ht="15" customHeight="1">
      <c r="B152" s="140" t="s">
        <v>418</v>
      </c>
      <c r="C152" s="137"/>
      <c r="D152" s="137"/>
    </row>
    <row r="153" spans="2:4" s="100" customFormat="1" ht="15" customHeight="1">
      <c r="B153" s="140" t="s">
        <v>419</v>
      </c>
      <c r="C153" s="137"/>
      <c r="D153" s="137"/>
    </row>
    <row r="154" spans="2:4" s="100" customFormat="1" ht="15" customHeight="1">
      <c r="B154" s="140" t="s">
        <v>343</v>
      </c>
      <c r="C154" s="137"/>
      <c r="D154" s="137"/>
    </row>
    <row r="155" spans="2:4" s="100" customFormat="1" ht="15" customHeight="1">
      <c r="B155" s="140" t="s">
        <v>339</v>
      </c>
      <c r="C155" s="137"/>
      <c r="D155" s="137"/>
    </row>
    <row r="156" spans="2:4" s="100" customFormat="1" ht="15" customHeight="1">
      <c r="B156" s="140" t="s">
        <v>488</v>
      </c>
      <c r="C156" s="137"/>
      <c r="D156" s="137"/>
    </row>
    <row r="157" spans="2:4" s="100" customFormat="1" ht="15" customHeight="1">
      <c r="B157" s="140" t="s">
        <v>122</v>
      </c>
      <c r="C157" s="137"/>
      <c r="D157" s="137"/>
    </row>
    <row r="158" spans="2:4" s="100" customFormat="1" ht="15" customHeight="1">
      <c r="B158" s="140" t="s">
        <v>123</v>
      </c>
      <c r="C158" s="137"/>
      <c r="D158" s="137"/>
    </row>
    <row r="159" spans="2:4" s="100" customFormat="1" ht="15" customHeight="1">
      <c r="B159" s="140" t="s">
        <v>315</v>
      </c>
      <c r="C159" s="137"/>
      <c r="D159" s="137"/>
    </row>
    <row r="160" spans="2:4" s="100" customFormat="1" ht="15" customHeight="1">
      <c r="B160" s="140" t="s">
        <v>420</v>
      </c>
      <c r="C160" s="137"/>
      <c r="D160" s="137"/>
    </row>
    <row r="161" spans="1:25" s="100" customFormat="1" ht="15" customHeight="1">
      <c r="B161" s="140" t="s">
        <v>357</v>
      </c>
      <c r="C161" s="137"/>
      <c r="D161" s="137"/>
    </row>
    <row r="162" spans="1:25" s="100" customFormat="1" ht="15" customHeight="1">
      <c r="B162" s="140" t="s">
        <v>499</v>
      </c>
      <c r="C162" s="137"/>
      <c r="D162" s="128"/>
    </row>
    <row r="163" spans="1:25" s="100" customFormat="1" ht="15" customHeight="1">
      <c r="B163" s="140" t="s">
        <v>421</v>
      </c>
    </row>
    <row r="164" spans="1:25" s="100" customFormat="1" ht="15" customHeight="1">
      <c r="B164" s="140" t="s">
        <v>422</v>
      </c>
    </row>
    <row r="165" spans="1:25" s="100" customFormat="1" ht="15" customHeight="1">
      <c r="B165" s="140" t="s">
        <v>502</v>
      </c>
    </row>
    <row r="166" spans="1:25" s="100" customFormat="1" ht="15" customHeight="1">
      <c r="B166" s="140" t="s">
        <v>299</v>
      </c>
    </row>
    <row r="167" spans="1:25" s="100" customFormat="1" ht="15" customHeight="1">
      <c r="B167" s="140" t="s">
        <v>336</v>
      </c>
    </row>
    <row r="168" spans="1:25" s="100" customFormat="1" ht="15" customHeight="1">
      <c r="B168" s="140" t="s">
        <v>288</v>
      </c>
    </row>
    <row r="169" spans="1:25" s="100" customFormat="1" ht="15" customHeight="1">
      <c r="B169" s="140" t="s">
        <v>423</v>
      </c>
    </row>
    <row r="170" spans="1:25" s="100" customFormat="1" ht="15" customHeight="1">
      <c r="B170" s="140" t="s">
        <v>131</v>
      </c>
    </row>
    <row r="171" spans="1:25" s="100" customFormat="1" ht="15" customHeight="1">
      <c r="A171" s="137"/>
      <c r="B171" s="140" t="s">
        <v>424</v>
      </c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spans="1:25" s="100" customFormat="1" ht="15" customHeight="1">
      <c r="B172" s="140" t="s">
        <v>133</v>
      </c>
    </row>
    <row r="173" spans="1:25" s="100" customFormat="1" ht="15" customHeight="1">
      <c r="B173" s="140" t="s">
        <v>345</v>
      </c>
    </row>
    <row r="174" spans="1:25" s="100" customFormat="1" ht="15" customHeight="1">
      <c r="B174" s="140" t="s">
        <v>498</v>
      </c>
    </row>
    <row r="175" spans="1:25" s="100" customFormat="1" ht="15" customHeight="1">
      <c r="B175" s="140" t="s">
        <v>490</v>
      </c>
    </row>
    <row r="176" spans="1:25" s="100" customFormat="1" ht="15" customHeight="1">
      <c r="B176" s="140" t="s">
        <v>312</v>
      </c>
    </row>
    <row r="177" spans="2:2" s="100" customFormat="1" ht="15" customHeight="1">
      <c r="B177" s="140" t="s">
        <v>371</v>
      </c>
    </row>
    <row r="178" spans="2:2" s="100" customFormat="1" ht="15" customHeight="1">
      <c r="B178" s="140" t="s">
        <v>372</v>
      </c>
    </row>
    <row r="179" spans="2:2" s="100" customFormat="1" ht="15" customHeight="1">
      <c r="B179" s="140" t="s">
        <v>294</v>
      </c>
    </row>
    <row r="180" spans="2:2" s="100" customFormat="1" ht="15" customHeight="1">
      <c r="B180" s="140" t="s">
        <v>293</v>
      </c>
    </row>
    <row r="181" spans="2:2" s="100" customFormat="1" ht="15" customHeight="1">
      <c r="B181" s="140" t="s">
        <v>363</v>
      </c>
    </row>
    <row r="182" spans="2:2" s="100" customFormat="1" ht="15" customHeight="1">
      <c r="B182" s="140" t="s">
        <v>361</v>
      </c>
    </row>
    <row r="183" spans="2:2" s="100" customFormat="1" ht="15" customHeight="1">
      <c r="B183" s="140" t="s">
        <v>362</v>
      </c>
    </row>
    <row r="184" spans="2:2" s="100" customFormat="1" ht="15" customHeight="1">
      <c r="B184" s="140" t="s">
        <v>373</v>
      </c>
    </row>
    <row r="185" spans="2:2" s="100" customFormat="1" ht="15" customHeight="1">
      <c r="B185" s="140" t="s">
        <v>374</v>
      </c>
    </row>
    <row r="186" spans="2:2" s="100" customFormat="1" ht="15" customHeight="1">
      <c r="B186" s="140" t="s">
        <v>375</v>
      </c>
    </row>
    <row r="187" spans="2:2" s="100" customFormat="1" ht="15" customHeight="1">
      <c r="B187" s="140" t="s">
        <v>376</v>
      </c>
    </row>
    <row r="188" spans="2:2" s="100" customFormat="1" ht="15" customHeight="1">
      <c r="B188" s="140" t="s">
        <v>377</v>
      </c>
    </row>
    <row r="189" spans="2:2" s="100" customFormat="1" ht="15" customHeight="1">
      <c r="B189" s="140" t="s">
        <v>378</v>
      </c>
    </row>
    <row r="190" spans="2:2" s="100" customFormat="1" ht="15" customHeight="1">
      <c r="B190" s="140" t="s">
        <v>379</v>
      </c>
    </row>
    <row r="191" spans="2:2" s="100" customFormat="1" ht="15" customHeight="1">
      <c r="B191" s="140" t="s">
        <v>380</v>
      </c>
    </row>
    <row r="192" spans="2:2" s="100" customFormat="1" ht="15" customHeight="1">
      <c r="B192" s="140" t="s">
        <v>367</v>
      </c>
    </row>
    <row r="193" spans="2:2" s="100" customFormat="1" ht="15" customHeight="1">
      <c r="B193" s="140" t="s">
        <v>370</v>
      </c>
    </row>
    <row r="194" spans="2:2" s="100" customFormat="1" ht="15" customHeight="1">
      <c r="B194" s="140" t="s">
        <v>366</v>
      </c>
    </row>
    <row r="195" spans="2:2" s="100" customFormat="1" ht="15" customHeight="1">
      <c r="B195" s="140" t="s">
        <v>369</v>
      </c>
    </row>
    <row r="196" spans="2:2" s="100" customFormat="1" ht="15" customHeight="1">
      <c r="B196" s="140" t="s">
        <v>368</v>
      </c>
    </row>
    <row r="197" spans="2:2" s="100" customFormat="1" ht="15" customHeight="1">
      <c r="B197" s="140" t="s">
        <v>364</v>
      </c>
    </row>
    <row r="198" spans="2:2" s="100" customFormat="1" ht="15" customHeight="1">
      <c r="B198" s="140" t="s">
        <v>365</v>
      </c>
    </row>
    <row r="199" spans="2:2" s="100" customFormat="1" ht="15" customHeight="1">
      <c r="B199" s="140" t="s">
        <v>309</v>
      </c>
    </row>
    <row r="200" spans="2:2" s="100" customFormat="1" ht="15" customHeight="1">
      <c r="B200" s="140" t="s">
        <v>295</v>
      </c>
    </row>
    <row r="201" spans="2:2" s="100" customFormat="1" ht="15" customHeight="1">
      <c r="B201" s="140" t="s">
        <v>260</v>
      </c>
    </row>
    <row r="202" spans="2:2" s="100" customFormat="1" ht="15" customHeight="1">
      <c r="B202" s="140" t="s">
        <v>425</v>
      </c>
    </row>
    <row r="203" spans="2:2" s="100" customFormat="1" ht="15" customHeight="1">
      <c r="B203" s="140" t="s">
        <v>501</v>
      </c>
    </row>
    <row r="204" spans="2:2" s="100" customFormat="1" ht="15" customHeight="1">
      <c r="B204" s="140" t="s">
        <v>426</v>
      </c>
    </row>
    <row r="205" spans="2:2" s="100" customFormat="1" ht="15" customHeight="1">
      <c r="B205" s="140" t="s">
        <v>427</v>
      </c>
    </row>
    <row r="206" spans="2:2" s="100" customFormat="1" ht="15" customHeight="1">
      <c r="B206" s="140" t="s">
        <v>503</v>
      </c>
    </row>
    <row r="207" spans="2:2" s="100" customFormat="1" ht="15" customHeight="1">
      <c r="B207" s="140" t="s">
        <v>358</v>
      </c>
    </row>
    <row r="208" spans="2:2" s="100" customFormat="1" ht="15" customHeight="1">
      <c r="B208" s="140" t="s">
        <v>428</v>
      </c>
    </row>
    <row r="209" spans="2:2" s="100" customFormat="1" ht="15" customHeight="1">
      <c r="B209" s="140" t="s">
        <v>476</v>
      </c>
    </row>
    <row r="210" spans="2:2" s="100" customFormat="1" ht="15" customHeight="1">
      <c r="B210" s="140" t="s">
        <v>331</v>
      </c>
    </row>
    <row r="211" spans="2:2" s="100" customFormat="1" ht="15" customHeight="1">
      <c r="B211" s="140" t="s">
        <v>429</v>
      </c>
    </row>
    <row r="212" spans="2:2" s="100" customFormat="1" ht="15" customHeight="1">
      <c r="B212" s="140" t="s">
        <v>483</v>
      </c>
    </row>
    <row r="213" spans="2:2" s="100" customFormat="1" ht="15" customHeight="1">
      <c r="B213" s="140" t="s">
        <v>321</v>
      </c>
    </row>
    <row r="214" spans="2:2" s="100" customFormat="1" ht="15" customHeight="1">
      <c r="B214" s="140" t="s">
        <v>430</v>
      </c>
    </row>
    <row r="215" spans="2:2" s="100" customFormat="1" ht="15" customHeight="1">
      <c r="B215" s="140" t="s">
        <v>159</v>
      </c>
    </row>
    <row r="216" spans="2:2" s="100" customFormat="1" ht="15" customHeight="1">
      <c r="B216" s="140" t="s">
        <v>431</v>
      </c>
    </row>
    <row r="217" spans="2:2" s="100" customFormat="1" ht="15" customHeight="1">
      <c r="B217" s="140" t="s">
        <v>486</v>
      </c>
    </row>
    <row r="218" spans="2:2" s="100" customFormat="1" ht="15" customHeight="1">
      <c r="B218" s="140" t="s">
        <v>432</v>
      </c>
    </row>
    <row r="219" spans="2:2" s="100" customFormat="1" ht="15" customHeight="1">
      <c r="B219" s="140" t="s">
        <v>500</v>
      </c>
    </row>
    <row r="220" spans="2:2" s="100" customFormat="1" ht="15" customHeight="1">
      <c r="B220" s="140" t="s">
        <v>433</v>
      </c>
    </row>
    <row r="221" spans="2:2" s="100" customFormat="1" ht="15" customHeight="1">
      <c r="B221" s="140" t="s">
        <v>434</v>
      </c>
    </row>
    <row r="222" spans="2:2" s="100" customFormat="1" ht="15" customHeight="1">
      <c r="B222" s="140" t="s">
        <v>291</v>
      </c>
    </row>
    <row r="223" spans="2:2" s="100" customFormat="1" ht="15" customHeight="1">
      <c r="B223" s="140" t="s">
        <v>165</v>
      </c>
    </row>
    <row r="224" spans="2:2" s="100" customFormat="1" ht="15" customHeight="1">
      <c r="B224" s="140" t="s">
        <v>435</v>
      </c>
    </row>
    <row r="225" spans="2:2" s="100" customFormat="1" ht="15" customHeight="1">
      <c r="B225" s="140" t="s">
        <v>436</v>
      </c>
    </row>
    <row r="226" spans="2:2" s="100" customFormat="1" ht="15" customHeight="1">
      <c r="B226" s="140" t="s">
        <v>167</v>
      </c>
    </row>
    <row r="227" spans="2:2" s="100" customFormat="1" ht="15" customHeight="1">
      <c r="B227" s="140" t="s">
        <v>300</v>
      </c>
    </row>
    <row r="228" spans="2:2" s="100" customFormat="1" ht="15" customHeight="1">
      <c r="B228" s="140" t="s">
        <v>473</v>
      </c>
    </row>
    <row r="229" spans="2:2" s="100" customFormat="1" ht="15" customHeight="1">
      <c r="B229" s="140" t="s">
        <v>437</v>
      </c>
    </row>
    <row r="230" spans="2:2" s="100" customFormat="1" ht="15" customHeight="1">
      <c r="B230" s="140" t="s">
        <v>438</v>
      </c>
    </row>
    <row r="231" spans="2:2" s="100" customFormat="1" ht="15" customHeight="1">
      <c r="B231" s="140" t="s">
        <v>329</v>
      </c>
    </row>
    <row r="232" spans="2:2" s="100" customFormat="1" ht="15" customHeight="1">
      <c r="B232" s="140" t="s">
        <v>439</v>
      </c>
    </row>
    <row r="233" spans="2:2" s="100" customFormat="1" ht="15" customHeight="1">
      <c r="B233" s="140" t="s">
        <v>240</v>
      </c>
    </row>
    <row r="234" spans="2:2" s="100" customFormat="1" ht="15" customHeight="1">
      <c r="B234" s="140" t="s">
        <v>440</v>
      </c>
    </row>
    <row r="235" spans="2:2" s="100" customFormat="1" ht="15" customHeight="1">
      <c r="B235" s="140" t="s">
        <v>472</v>
      </c>
    </row>
    <row r="236" spans="2:2" s="100" customFormat="1" ht="15" customHeight="1">
      <c r="B236" s="140" t="s">
        <v>441</v>
      </c>
    </row>
    <row r="237" spans="2:2" s="100" customFormat="1" ht="15" customHeight="1">
      <c r="B237" s="140" t="s">
        <v>442</v>
      </c>
    </row>
    <row r="238" spans="2:2" s="100" customFormat="1" ht="15" customHeight="1">
      <c r="B238" s="140" t="s">
        <v>207</v>
      </c>
    </row>
    <row r="239" spans="2:2" s="100" customFormat="1" ht="15" customHeight="1">
      <c r="B239" s="140" t="s">
        <v>171</v>
      </c>
    </row>
    <row r="240" spans="2:2" s="100" customFormat="1" ht="15" customHeight="1">
      <c r="B240" s="140" t="s">
        <v>172</v>
      </c>
    </row>
    <row r="241" spans="2:2" s="100" customFormat="1" ht="15" customHeight="1">
      <c r="B241" s="140" t="s">
        <v>305</v>
      </c>
    </row>
    <row r="242" spans="2:2" s="100" customFormat="1" ht="15" customHeight="1">
      <c r="B242" s="140" t="s">
        <v>443</v>
      </c>
    </row>
    <row r="243" spans="2:2" s="100" customFormat="1" ht="15" customHeight="1">
      <c r="B243" s="140" t="s">
        <v>206</v>
      </c>
    </row>
    <row r="244" spans="2:2" s="100" customFormat="1" ht="15" customHeight="1">
      <c r="B244" s="140" t="s">
        <v>479</v>
      </c>
    </row>
    <row r="245" spans="2:2" s="100" customFormat="1" ht="15" customHeight="1">
      <c r="B245" s="140" t="s">
        <v>173</v>
      </c>
    </row>
    <row r="246" spans="2:2" s="100" customFormat="1" ht="15" customHeight="1">
      <c r="B246" s="140" t="s">
        <v>482</v>
      </c>
    </row>
    <row r="247" spans="2:2" s="100" customFormat="1" ht="15" customHeight="1">
      <c r="B247" s="140" t="s">
        <v>444</v>
      </c>
    </row>
    <row r="248" spans="2:2" s="100" customFormat="1" ht="15" customHeight="1">
      <c r="B248" s="140" t="s">
        <v>460</v>
      </c>
    </row>
    <row r="249" spans="2:2" s="100" customFormat="1" ht="15" customHeight="1">
      <c r="B249" s="140" t="s">
        <v>489</v>
      </c>
    </row>
    <row r="250" spans="2:2" s="100" customFormat="1" ht="15" customHeight="1">
      <c r="B250" s="140" t="s">
        <v>346</v>
      </c>
    </row>
    <row r="251" spans="2:2" s="100" customFormat="1" ht="15" customHeight="1">
      <c r="B251" s="140" t="s">
        <v>496</v>
      </c>
    </row>
    <row r="252" spans="2:2" s="100" customFormat="1" ht="15" customHeight="1">
      <c r="B252" s="140" t="s">
        <v>445</v>
      </c>
    </row>
    <row r="253" spans="2:2" s="100" customFormat="1" ht="15" customHeight="1">
      <c r="B253" s="140" t="s">
        <v>205</v>
      </c>
    </row>
    <row r="254" spans="2:2" s="100" customFormat="1" ht="15" customHeight="1">
      <c r="B254" s="140" t="s">
        <v>302</v>
      </c>
    </row>
    <row r="255" spans="2:2" s="100" customFormat="1" ht="15" customHeight="1">
      <c r="B255" s="140" t="s">
        <v>265</v>
      </c>
    </row>
    <row r="256" spans="2:2" s="100" customFormat="1" ht="15" customHeight="1">
      <c r="B256" s="140" t="s">
        <v>318</v>
      </c>
    </row>
    <row r="257" spans="1:25" s="100" customFormat="1" ht="15" customHeight="1">
      <c r="B257" s="140" t="s">
        <v>178</v>
      </c>
    </row>
    <row r="258" spans="1:25" s="100" customFormat="1" ht="15" customHeight="1">
      <c r="B258" s="140" t="s">
        <v>491</v>
      </c>
    </row>
    <row r="259" spans="1:25" s="100" customFormat="1" ht="15" customHeight="1">
      <c r="B259" s="140" t="s">
        <v>480</v>
      </c>
    </row>
    <row r="260" spans="1:25" s="100" customFormat="1" ht="15" customHeight="1">
      <c r="B260" s="140" t="s">
        <v>446</v>
      </c>
    </row>
    <row r="261" spans="1:25" s="100" customFormat="1" ht="15" customHeight="1">
      <c r="B261" s="140" t="s">
        <v>447</v>
      </c>
    </row>
    <row r="262" spans="1:25" s="100" customFormat="1" ht="15" customHeight="1">
      <c r="B262" s="140" t="s">
        <v>448</v>
      </c>
    </row>
    <row r="263" spans="1:25" s="100" customFormat="1" ht="15" customHeight="1">
      <c r="B263" s="140" t="s">
        <v>461</v>
      </c>
    </row>
    <row r="264" spans="1:25" s="100" customFormat="1" ht="15" customHeight="1">
      <c r="B264" s="140" t="s">
        <v>449</v>
      </c>
    </row>
    <row r="265" spans="1:25" s="100" customFormat="1" ht="15" customHeight="1">
      <c r="B265" s="140" t="s">
        <v>186</v>
      </c>
    </row>
    <row r="266" spans="1:25" s="100" customFormat="1" ht="15" customHeight="1">
      <c r="B266" s="140" t="s">
        <v>282</v>
      </c>
    </row>
    <row r="267" spans="1:25" s="100" customFormat="1" ht="15" customHeight="1">
      <c r="B267" s="140" t="s">
        <v>322</v>
      </c>
    </row>
    <row r="268" spans="1:25" s="100" customFormat="1" ht="15" customHeight="1">
      <c r="B268" s="140" t="s">
        <v>340</v>
      </c>
    </row>
    <row r="269" spans="1:25" s="100" customFormat="1" ht="15" customHeight="1">
      <c r="B269" s="140" t="s">
        <v>274</v>
      </c>
    </row>
    <row r="270" spans="1:25" s="137" customFormat="1" ht="15" customHeight="1">
      <c r="A270" s="100"/>
      <c r="B270" s="140" t="s">
        <v>450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</row>
    <row r="271" spans="1:25" s="137" customFormat="1" ht="15" customHeight="1">
      <c r="A271" s="100"/>
      <c r="B271" s="140" t="s">
        <v>313</v>
      </c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</row>
    <row r="272" spans="1:25" s="137" customFormat="1" ht="15" customHeight="1">
      <c r="A272" s="100"/>
      <c r="B272" s="140" t="s">
        <v>451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</row>
    <row r="273" spans="1:25" s="137" customFormat="1" ht="15" customHeight="1">
      <c r="A273" s="100"/>
      <c r="B273" s="140" t="s">
        <v>272</v>
      </c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</row>
    <row r="274" spans="1:25" s="137" customFormat="1" ht="15" customHeight="1">
      <c r="A274" s="100"/>
      <c r="B274" s="140" t="s">
        <v>492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</row>
    <row r="275" spans="1:25" s="137" customFormat="1" ht="15" customHeight="1">
      <c r="A275" s="100"/>
      <c r="B275" s="140" t="s">
        <v>466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</row>
    <row r="276" spans="1:25" s="100" customFormat="1" ht="15" customHeight="1">
      <c r="B276" s="140" t="s">
        <v>306</v>
      </c>
    </row>
    <row r="277" spans="1:25" s="100" customFormat="1" ht="15" customHeight="1">
      <c r="B277" s="140" t="s">
        <v>452</v>
      </c>
    </row>
    <row r="278" spans="1:25" s="100" customFormat="1" ht="15" customHeight="1">
      <c r="B278" s="140" t="s">
        <v>236</v>
      </c>
    </row>
    <row r="279" spans="1:25" s="100" customFormat="1" ht="15" customHeight="1">
      <c r="B279" s="140" t="s">
        <v>316</v>
      </c>
    </row>
    <row r="280" spans="1:25" s="100" customFormat="1" ht="15" customHeight="1">
      <c r="B280" s="140" t="s">
        <v>453</v>
      </c>
    </row>
    <row r="281" spans="1:25" s="100" customFormat="1" ht="15" customHeight="1">
      <c r="B281" s="140" t="s">
        <v>454</v>
      </c>
    </row>
    <row r="282" spans="1:25" s="137" customFormat="1" ht="15" customHeight="1">
      <c r="A282" s="100"/>
      <c r="B282" s="140" t="s">
        <v>475</v>
      </c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</row>
    <row r="283" spans="1:25" s="137" customFormat="1" ht="15" customHeight="1">
      <c r="A283" s="100"/>
      <c r="B283" s="140" t="s">
        <v>481</v>
      </c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</row>
    <row r="284" spans="1:25" s="137" customFormat="1" ht="15" customHeight="1">
      <c r="A284" s="100"/>
      <c r="B284" s="140" t="s">
        <v>455</v>
      </c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</row>
    <row r="285" spans="1:25" s="137" customFormat="1" ht="15" customHeight="1">
      <c r="A285" s="100"/>
      <c r="B285" s="140" t="s">
        <v>462</v>
      </c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</row>
    <row r="286" spans="1:25" s="137" customFormat="1" ht="15" customHeight="1">
      <c r="A286" s="100"/>
      <c r="B286" s="140" t="s">
        <v>326</v>
      </c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</row>
    <row r="287" spans="1:25" s="137" customFormat="1" ht="15" customHeight="1">
      <c r="B287" s="140" t="s">
        <v>474</v>
      </c>
    </row>
    <row r="288" spans="1:25" s="137" customFormat="1" ht="15" customHeight="1">
      <c r="B288" s="140" t="s">
        <v>463</v>
      </c>
    </row>
    <row r="289" spans="1:25" s="137" customFormat="1" ht="15" customHeight="1">
      <c r="A289" s="100"/>
      <c r="B289" s="140" t="s">
        <v>267</v>
      </c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</row>
    <row r="290" spans="1:25" s="137" customFormat="1" ht="15" customHeight="1">
      <c r="A290" s="100"/>
      <c r="B290" s="140" t="s">
        <v>320</v>
      </c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</row>
    <row r="291" spans="1:25" s="100" customFormat="1" ht="15" customHeight="1">
      <c r="B291" s="140" t="s">
        <v>317</v>
      </c>
    </row>
    <row r="292" spans="1:25" s="137" customFormat="1" ht="15" customHeight="1">
      <c r="B292" s="140" t="s">
        <v>323</v>
      </c>
    </row>
    <row r="293" spans="1:25" s="137" customFormat="1" ht="15" customHeight="1">
      <c r="B293" s="140" t="s">
        <v>456</v>
      </c>
    </row>
    <row r="294" spans="1:25" s="137" customFormat="1" ht="15" customHeight="1">
      <c r="B294" s="140" t="s">
        <v>457</v>
      </c>
    </row>
    <row r="295" spans="1:25" s="137" customFormat="1" ht="15" customHeight="1">
      <c r="B295" s="140" t="s">
        <v>332</v>
      </c>
    </row>
    <row r="296" spans="1:25" s="137" customFormat="1" ht="15" customHeight="1">
      <c r="B296" s="140" t="s">
        <v>304</v>
      </c>
    </row>
    <row r="297" spans="1:25" s="137" customFormat="1" ht="15" customHeight="1">
      <c r="B297" s="140" t="s">
        <v>458</v>
      </c>
    </row>
    <row r="298" spans="1:25" s="137" customFormat="1" ht="15" customHeight="1">
      <c r="B298" s="140" t="s">
        <v>199</v>
      </c>
    </row>
    <row r="299" spans="1:25" s="137" customFormat="1" ht="15" customHeight="1">
      <c r="B299" s="140" t="s">
        <v>290</v>
      </c>
    </row>
    <row r="300" spans="1:25" s="137" customFormat="1" ht="15" customHeight="1">
      <c r="B300" s="140" t="s">
        <v>200</v>
      </c>
    </row>
    <row r="301" spans="1:25" s="137" customFormat="1" ht="15" customHeight="1">
      <c r="B301" s="140" t="s">
        <v>459</v>
      </c>
    </row>
    <row r="302" spans="1:25" s="137" customFormat="1" ht="15" customHeight="1">
      <c r="B302" s="140" t="s">
        <v>308</v>
      </c>
    </row>
    <row r="303" spans="1:25" s="137" customFormat="1" ht="15" customHeight="1">
      <c r="B303" s="140" t="s">
        <v>202</v>
      </c>
    </row>
    <row r="304" spans="1:25" s="137" customFormat="1" ht="15" customHeight="1">
      <c r="B304" s="140" t="s">
        <v>311</v>
      </c>
    </row>
    <row r="305" spans="2:2" s="137" customFormat="1" ht="15" customHeight="1">
      <c r="B305" s="140" t="s">
        <v>350</v>
      </c>
    </row>
    <row r="306" spans="2:2" s="137" customFormat="1" ht="15" customHeight="1">
      <c r="B306" s="140" t="s">
        <v>204</v>
      </c>
    </row>
    <row r="307" spans="2:2" s="100" customFormat="1" ht="30" customHeight="1"/>
    <row r="308" spans="2:2" s="100" customFormat="1" ht="30" customHeight="1"/>
    <row r="309" spans="2:2" s="100" customFormat="1" ht="28" customHeight="1"/>
    <row r="310" spans="2:2" s="100" customFormat="1" ht="30" customHeight="1"/>
    <row r="311" spans="2:2" s="100" customFormat="1" ht="30" customHeight="1"/>
    <row r="312" spans="2:2" s="100" customFormat="1" ht="30" customHeight="1"/>
    <row r="313" spans="2:2" s="100" customFormat="1" ht="30" customHeight="1"/>
    <row r="314" spans="2:2" s="100" customFormat="1" ht="30" customHeight="1"/>
    <row r="315" spans="2:2" s="100" customFormat="1" ht="30" customHeight="1"/>
    <row r="316" spans="2:2" s="100" customFormat="1" ht="30" customHeight="1"/>
    <row r="317" spans="2:2" s="100" customFormat="1" ht="30" customHeight="1"/>
    <row r="318" spans="2:2" s="100" customFormat="1" ht="30" customHeight="1"/>
    <row r="319" spans="2:2" s="100" customFormat="1" ht="30" customHeight="1"/>
    <row r="320" spans="2:2" s="100" customFormat="1" ht="30" customHeight="1"/>
    <row r="321" s="100" customFormat="1" ht="30" customHeight="1"/>
    <row r="322" s="100" customFormat="1" ht="30" customHeight="1"/>
    <row r="323" s="100" customFormat="1" ht="30" customHeight="1"/>
    <row r="324" s="100" customFormat="1" ht="30" customHeight="1"/>
    <row r="325" s="100" customFormat="1" ht="30" customHeight="1"/>
    <row r="326" s="100" customFormat="1" ht="30" customHeight="1"/>
    <row r="327" s="100" customFormat="1" ht="30" customHeight="1"/>
    <row r="328" s="100" customFormat="1" ht="30" customHeight="1"/>
  </sheetData>
  <sheetProtection algorithmName="SHA-512" hashValue="eE6RCxgPKjhuATzYehx0ZCqBEzIZYwnQQ1mht1EuLUbZQ+7ImpAZuaOEmxvxjrXJ4Lb7KRk7p+pPfnE+jbcL+w==" saltValue="SIxC75Bn/YpB1XFj1EWejw==" spinCount="100000" sheet="1" selectLockedCells="1"/>
  <sortState ref="B215:B216">
    <sortCondition ref="B215"/>
  </sortState>
  <mergeCells count="67">
    <mergeCell ref="B44:E44"/>
    <mergeCell ref="B4:B5"/>
    <mergeCell ref="C4:F7"/>
    <mergeCell ref="B6:B7"/>
    <mergeCell ref="C10:E10"/>
    <mergeCell ref="F10:G11"/>
    <mergeCell ref="B15:C15"/>
    <mergeCell ref="D15:E15"/>
    <mergeCell ref="E19:F19"/>
    <mergeCell ref="G19:H19"/>
    <mergeCell ref="E20:F20"/>
    <mergeCell ref="G20:H20"/>
    <mergeCell ref="E17:F17"/>
    <mergeCell ref="G17:H17"/>
    <mergeCell ref="E18:F18"/>
    <mergeCell ref="G18:H18"/>
    <mergeCell ref="H10:I11"/>
    <mergeCell ref="C11:E11"/>
    <mergeCell ref="C12:E12"/>
    <mergeCell ref="G12:I12"/>
    <mergeCell ref="B14:C14"/>
    <mergeCell ref="H14:I14"/>
    <mergeCell ref="D14:E14"/>
    <mergeCell ref="H15:I15"/>
    <mergeCell ref="E21:F21"/>
    <mergeCell ref="G21:H21"/>
    <mergeCell ref="E22:F22"/>
    <mergeCell ref="G22:H22"/>
    <mergeCell ref="F16:I16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40:F40"/>
    <mergeCell ref="G40:H40"/>
    <mergeCell ref="E41:F41"/>
    <mergeCell ref="G41:H41"/>
    <mergeCell ref="E37:F37"/>
    <mergeCell ref="G37:H37"/>
    <mergeCell ref="E38:F38"/>
    <mergeCell ref="G38:H38"/>
    <mergeCell ref="E39:F39"/>
    <mergeCell ref="G39:H39"/>
  </mergeCells>
  <phoneticPr fontId="1" type="noConversion"/>
  <conditionalFormatting sqref="B22:I41">
    <cfRule type="containsBlanks" dxfId="31" priority="14">
      <formula>LEN(TRIM(B22))=0</formula>
    </cfRule>
  </conditionalFormatting>
  <conditionalFormatting sqref="C10:E10">
    <cfRule type="cellIs" dxfId="30" priority="15" operator="equal">
      <formula>0</formula>
    </cfRule>
  </conditionalFormatting>
  <conditionalFormatting sqref="C11:E11">
    <cfRule type="cellIs" dxfId="29" priority="9" operator="equal">
      <formula>0</formula>
    </cfRule>
  </conditionalFormatting>
  <conditionalFormatting sqref="C12:E12">
    <cfRule type="cellIs" dxfId="28" priority="8" operator="equal">
      <formula>0</formula>
    </cfRule>
  </conditionalFormatting>
  <conditionalFormatting sqref="B18:B21">
    <cfRule type="containsBlanks" dxfId="27" priority="6">
      <formula>LEN(TRIM(B18))=0</formula>
    </cfRule>
  </conditionalFormatting>
  <conditionalFormatting sqref="C18:C21">
    <cfRule type="containsBlanks" dxfId="26" priority="5">
      <formula>LEN(TRIM(C18))=0</formula>
    </cfRule>
  </conditionalFormatting>
  <conditionalFormatting sqref="D18:D21">
    <cfRule type="containsBlanks" dxfId="25" priority="4">
      <formula>LEN(TRIM(D18))=0</formula>
    </cfRule>
  </conditionalFormatting>
  <conditionalFormatting sqref="E18:F21">
    <cfRule type="containsBlanks" dxfId="24" priority="3">
      <formula>LEN(TRIM(E18))=0</formula>
    </cfRule>
  </conditionalFormatting>
  <conditionalFormatting sqref="G18:H21">
    <cfRule type="containsBlanks" dxfId="23" priority="2">
      <formula>LEN(TRIM(G18))=0</formula>
    </cfRule>
  </conditionalFormatting>
  <conditionalFormatting sqref="I18:I21">
    <cfRule type="containsBlanks" dxfId="22" priority="1">
      <formula>LEN(TRIM(I18))=0</formula>
    </cfRule>
  </conditionalFormatting>
  <dataValidations count="4">
    <dataValidation type="list" allowBlank="1" showInputMessage="1" showErrorMessage="1" sqref="B42" xr:uid="{00000000-0002-0000-0400-000000000000}">
      <formula1>"통신비,야근식대,접대비(↓10),접대비(↑10),업무추진비,기타(지출증빙),기타(간이)"</formula1>
    </dataValidation>
    <dataValidation type="list" allowBlank="1" showInputMessage="1" showErrorMessage="1" sqref="B6:B7" xr:uid="{00000000-0002-0000-0400-000001000000}">
      <formula1>"1월,2월,3월,4월,5월,6월,7월,8월,9월,10월,11월,12월"</formula1>
    </dataValidation>
    <dataValidation type="list" allowBlank="1" showInputMessage="1" showErrorMessage="1" sqref="B18:B41" xr:uid="{00000000-0002-0000-0400-000002000000}">
      <formula1>"야근식대,휴일식대,접대비,회식비,회의식대,우편물 발송,택배비,소모품비,도서인쇄비,지급수수료,기타(법인카드)"</formula1>
    </dataValidation>
    <dataValidation type="list" allowBlank="1" showInputMessage="1" showErrorMessage="1" sqref="C11:E11" xr:uid="{00000000-0002-0000-0400-000003000000}">
      <formula1>$Y$7:$Y$13</formula1>
    </dataValidation>
  </dataValidations>
  <printOptions horizontalCentered="1"/>
  <pageMargins left="0.24" right="0.24" top="0.31" bottom="0.35" header="0.31" footer="0.31"/>
  <pageSetup paperSize="9" scale="8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Drop Down 3">
              <controlPr locked="0" defaultSize="0" autoLine="0" autoPict="0">
                <anchor>
                  <from>
                    <xdr:col>6</xdr:col>
                    <xdr:colOff>69850</xdr:colOff>
                    <xdr:row>11</xdr:row>
                    <xdr:rowOff>19050</xdr:rowOff>
                  </from>
                  <to>
                    <xdr:col>8</xdr:col>
                    <xdr:colOff>1060450</xdr:colOff>
                    <xdr:row>11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5" tint="0.59996337778862885"/>
    <pageSetUpPr fitToPage="1"/>
  </sheetPr>
  <dimension ref="A1:V169"/>
  <sheetViews>
    <sheetView showGridLines="0" zoomScale="70" zoomScaleNormal="70" workbookViewId="0">
      <selection activeCell="B5" sqref="B5"/>
    </sheetView>
  </sheetViews>
  <sheetFormatPr defaultColWidth="9" defaultRowHeight="30" customHeight="1"/>
  <cols>
    <col min="1" max="1" width="1.5" style="1" customWidth="1"/>
    <col min="2" max="2" width="15.25" style="1" customWidth="1"/>
    <col min="3" max="3" width="3.33203125" style="1" customWidth="1"/>
    <col min="4" max="4" width="13.5" style="1" customWidth="1"/>
    <col min="5" max="6" width="14.58203125" style="1" customWidth="1"/>
    <col min="7" max="7" width="14.83203125" style="1" customWidth="1"/>
    <col min="8" max="8" width="16.75" style="1" customWidth="1"/>
    <col min="9" max="9" width="13.83203125" style="1" customWidth="1"/>
    <col min="10" max="10" width="1.5" style="1" customWidth="1"/>
    <col min="11" max="11" width="9" style="1" customWidth="1"/>
    <col min="12" max="16384" width="9" style="1"/>
  </cols>
  <sheetData>
    <row r="1" spans="2:22" ht="15" customHeight="1"/>
    <row r="2" spans="2:22" ht="21" customHeight="1" thickBot="1">
      <c r="B2" s="63"/>
      <c r="C2" s="63"/>
      <c r="D2" s="63"/>
      <c r="E2" s="245" t="s">
        <v>60</v>
      </c>
      <c r="F2" s="245"/>
      <c r="G2" s="245"/>
      <c r="H2" s="245"/>
      <c r="I2" s="64" t="s">
        <v>42</v>
      </c>
    </row>
    <row r="3" spans="2:22" ht="6.75" customHeight="1" thickTop="1">
      <c r="B3" s="31"/>
      <c r="C3" s="31"/>
      <c r="D3" s="31"/>
      <c r="E3" s="31"/>
      <c r="F3" s="31"/>
      <c r="G3" s="31"/>
      <c r="H3" s="31"/>
      <c r="I3" s="31"/>
    </row>
    <row r="4" spans="2:22" s="4" customFormat="1" ht="19.5" customHeight="1">
      <c r="B4" s="94" t="s">
        <v>1</v>
      </c>
      <c r="C4" s="93" t="s">
        <v>2</v>
      </c>
      <c r="D4" s="95" t="s">
        <v>7</v>
      </c>
      <c r="E4" s="159" t="s">
        <v>3</v>
      </c>
      <c r="F4" s="160"/>
      <c r="G4" s="159" t="s">
        <v>8</v>
      </c>
      <c r="H4" s="161"/>
      <c r="I4" s="94" t="s">
        <v>4</v>
      </c>
    </row>
    <row r="5" spans="2:22" s="4" customFormat="1" ht="22.5" customHeight="1">
      <c r="B5" s="92"/>
      <c r="C5" s="92"/>
      <c r="D5" s="92"/>
      <c r="E5" s="246"/>
      <c r="F5" s="246"/>
      <c r="G5" s="246"/>
      <c r="H5" s="246"/>
      <c r="I5" s="35"/>
    </row>
    <row r="6" spans="2:22" s="4" customFormat="1" ht="22.5" customHeight="1">
      <c r="B6" s="92"/>
      <c r="C6" s="92"/>
      <c r="D6" s="92"/>
      <c r="E6" s="246"/>
      <c r="F6" s="246"/>
      <c r="G6" s="246"/>
      <c r="H6" s="246"/>
      <c r="I6" s="35"/>
    </row>
    <row r="7" spans="2:22" s="14" customFormat="1" ht="22.5" customHeight="1">
      <c r="B7" s="92"/>
      <c r="C7" s="92"/>
      <c r="D7" s="92"/>
      <c r="E7" s="246"/>
      <c r="F7" s="246"/>
      <c r="G7" s="246"/>
      <c r="H7" s="246"/>
      <c r="I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2:22" s="14" customFormat="1" ht="22.5" customHeight="1">
      <c r="B8" s="92"/>
      <c r="C8" s="92"/>
      <c r="D8" s="92"/>
      <c r="E8" s="246"/>
      <c r="F8" s="246"/>
      <c r="G8" s="246"/>
      <c r="H8" s="246"/>
      <c r="I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2:22" s="14" customFormat="1" ht="22.5" customHeight="1">
      <c r="B9" s="92"/>
      <c r="C9" s="92"/>
      <c r="D9" s="92"/>
      <c r="E9" s="246"/>
      <c r="F9" s="246"/>
      <c r="G9" s="246"/>
      <c r="H9" s="246"/>
      <c r="I9" s="3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2:22" ht="22.5" customHeight="1">
      <c r="B10" s="92"/>
      <c r="C10" s="92"/>
      <c r="D10" s="92"/>
      <c r="E10" s="246"/>
      <c r="F10" s="246"/>
      <c r="G10" s="246"/>
      <c r="H10" s="246"/>
      <c r="I10" s="35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2:22" ht="22.5" customHeight="1">
      <c r="B11" s="92"/>
      <c r="C11" s="92"/>
      <c r="D11" s="92"/>
      <c r="E11" s="246"/>
      <c r="F11" s="246"/>
      <c r="G11" s="246"/>
      <c r="H11" s="246"/>
      <c r="I11" s="35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2:22" ht="22.5" customHeight="1">
      <c r="B12" s="92"/>
      <c r="C12" s="92"/>
      <c r="D12" s="92"/>
      <c r="E12" s="246"/>
      <c r="F12" s="246"/>
      <c r="G12" s="246"/>
      <c r="H12" s="246"/>
      <c r="I12" s="35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2:22" ht="22.5" customHeight="1">
      <c r="B13" s="92"/>
      <c r="C13" s="92"/>
      <c r="D13" s="92"/>
      <c r="E13" s="246"/>
      <c r="F13" s="246"/>
      <c r="G13" s="246"/>
      <c r="H13" s="246"/>
      <c r="I13" s="35"/>
    </row>
    <row r="14" spans="2:22" ht="22.5" customHeight="1">
      <c r="B14" s="92"/>
      <c r="C14" s="92"/>
      <c r="D14" s="92"/>
      <c r="E14" s="246"/>
      <c r="F14" s="246"/>
      <c r="G14" s="246"/>
      <c r="H14" s="246"/>
      <c r="I14" s="35"/>
    </row>
    <row r="15" spans="2:22" ht="22.5" customHeight="1">
      <c r="B15" s="92"/>
      <c r="C15" s="92"/>
      <c r="D15" s="92"/>
      <c r="E15" s="246"/>
      <c r="F15" s="246"/>
      <c r="G15" s="246"/>
      <c r="H15" s="246"/>
      <c r="I15" s="35"/>
    </row>
    <row r="16" spans="2:22" ht="22.5" customHeight="1">
      <c r="B16" s="92"/>
      <c r="C16" s="92"/>
      <c r="D16" s="92"/>
      <c r="E16" s="246"/>
      <c r="F16" s="246"/>
      <c r="G16" s="246"/>
      <c r="H16" s="246"/>
      <c r="I16" s="35"/>
    </row>
    <row r="17" spans="2:19" ht="22.5" customHeight="1">
      <c r="B17" s="92"/>
      <c r="C17" s="92"/>
      <c r="D17" s="92"/>
      <c r="E17" s="246"/>
      <c r="F17" s="246"/>
      <c r="G17" s="246"/>
      <c r="H17" s="246"/>
      <c r="I17" s="35"/>
    </row>
    <row r="18" spans="2:19" ht="22.5" customHeight="1">
      <c r="B18" s="92"/>
      <c r="C18" s="92"/>
      <c r="D18" s="92"/>
      <c r="E18" s="246"/>
      <c r="F18" s="246"/>
      <c r="G18" s="246"/>
      <c r="H18" s="246"/>
      <c r="I18" s="35"/>
    </row>
    <row r="19" spans="2:19" ht="22.5" customHeight="1">
      <c r="B19" s="92"/>
      <c r="C19" s="92"/>
      <c r="D19" s="92"/>
      <c r="E19" s="246"/>
      <c r="F19" s="246"/>
      <c r="G19" s="246"/>
      <c r="H19" s="246"/>
      <c r="I19" s="35"/>
    </row>
    <row r="20" spans="2:19" ht="22.5" customHeight="1">
      <c r="B20" s="92"/>
      <c r="C20" s="92"/>
      <c r="D20" s="92"/>
      <c r="E20" s="246"/>
      <c r="F20" s="246"/>
      <c r="G20" s="246"/>
      <c r="H20" s="246"/>
      <c r="I20" s="35"/>
    </row>
    <row r="21" spans="2:19" ht="22.5" customHeight="1">
      <c r="B21" s="92"/>
      <c r="C21" s="92"/>
      <c r="D21" s="92"/>
      <c r="E21" s="246"/>
      <c r="F21" s="246"/>
      <c r="G21" s="246"/>
      <c r="H21" s="246"/>
      <c r="I21" s="35"/>
    </row>
    <row r="22" spans="2:19" ht="22.5" customHeight="1">
      <c r="B22" s="92"/>
      <c r="C22" s="92"/>
      <c r="D22" s="92"/>
      <c r="E22" s="246"/>
      <c r="F22" s="246"/>
      <c r="G22" s="246"/>
      <c r="H22" s="246"/>
      <c r="I22" s="35"/>
    </row>
    <row r="23" spans="2:19" ht="22.5" customHeight="1">
      <c r="B23" s="92"/>
      <c r="C23" s="92"/>
      <c r="D23" s="92"/>
      <c r="E23" s="246"/>
      <c r="F23" s="246"/>
      <c r="G23" s="246"/>
      <c r="H23" s="246"/>
      <c r="I23" s="35"/>
    </row>
    <row r="24" spans="2:19" ht="22.5" customHeight="1">
      <c r="B24" s="92"/>
      <c r="C24" s="92"/>
      <c r="D24" s="92"/>
      <c r="E24" s="246"/>
      <c r="F24" s="246"/>
      <c r="G24" s="246"/>
      <c r="H24" s="246"/>
      <c r="I24" s="35"/>
    </row>
    <row r="25" spans="2:19" ht="22.5" customHeight="1">
      <c r="B25" s="92"/>
      <c r="C25" s="92"/>
      <c r="D25" s="92"/>
      <c r="E25" s="246"/>
      <c r="F25" s="246"/>
      <c r="G25" s="246"/>
      <c r="H25" s="246"/>
      <c r="I25" s="35"/>
    </row>
    <row r="26" spans="2:19" ht="22.5" customHeight="1">
      <c r="B26" s="86"/>
      <c r="C26" s="86"/>
      <c r="D26" s="86"/>
      <c r="E26" s="188"/>
      <c r="F26" s="188"/>
      <c r="G26" s="188"/>
      <c r="H26" s="188"/>
      <c r="I26" s="35"/>
      <c r="L26" s="25"/>
    </row>
    <row r="27" spans="2:19" ht="22.5" customHeight="1">
      <c r="B27" s="86"/>
      <c r="C27" s="86"/>
      <c r="D27" s="86"/>
      <c r="E27" s="188"/>
      <c r="F27" s="188"/>
      <c r="G27" s="188"/>
      <c r="H27" s="188"/>
      <c r="I27" s="35"/>
    </row>
    <row r="28" spans="2:19" ht="22.5" customHeight="1">
      <c r="B28" s="86"/>
      <c r="C28" s="86"/>
      <c r="D28" s="86"/>
      <c r="E28" s="188"/>
      <c r="F28" s="188"/>
      <c r="G28" s="188"/>
      <c r="H28" s="188"/>
      <c r="I28" s="35"/>
      <c r="L28" s="14" t="s">
        <v>32</v>
      </c>
    </row>
    <row r="29" spans="2:19" ht="22.5" customHeight="1">
      <c r="B29" s="86"/>
      <c r="C29" s="86"/>
      <c r="D29" s="86"/>
      <c r="E29" s="188"/>
      <c r="F29" s="188"/>
      <c r="G29" s="188"/>
      <c r="H29" s="188"/>
      <c r="I29" s="35"/>
    </row>
    <row r="30" spans="2:19" ht="22.5" customHeight="1">
      <c r="B30" s="86"/>
      <c r="C30" s="86"/>
      <c r="D30" s="86"/>
      <c r="E30" s="188"/>
      <c r="F30" s="188"/>
      <c r="G30" s="188"/>
      <c r="H30" s="188"/>
      <c r="I30" s="35"/>
    </row>
    <row r="31" spans="2:19" ht="22.5" customHeight="1">
      <c r="B31" s="86"/>
      <c r="C31" s="86"/>
      <c r="D31" s="86"/>
      <c r="E31" s="188"/>
      <c r="F31" s="188"/>
      <c r="G31" s="188"/>
      <c r="H31" s="188"/>
      <c r="I31" s="35"/>
    </row>
    <row r="32" spans="2:19" ht="22.5" customHeight="1">
      <c r="B32" s="86"/>
      <c r="C32" s="86"/>
      <c r="D32" s="86"/>
      <c r="E32" s="188"/>
      <c r="F32" s="188"/>
      <c r="G32" s="188"/>
      <c r="H32" s="188"/>
      <c r="I32" s="35"/>
      <c r="L32" s="26"/>
      <c r="M32" s="26"/>
      <c r="N32" s="26"/>
      <c r="O32" s="26"/>
      <c r="P32" s="26"/>
      <c r="Q32" s="26"/>
      <c r="R32" s="26"/>
      <c r="S32" s="26"/>
    </row>
    <row r="33" spans="1:22" ht="22.5" customHeight="1">
      <c r="B33" s="86"/>
      <c r="C33" s="86"/>
      <c r="D33" s="86"/>
      <c r="E33" s="188"/>
      <c r="F33" s="188"/>
      <c r="G33" s="188"/>
      <c r="H33" s="188"/>
      <c r="I33" s="35"/>
      <c r="L33" s="26"/>
      <c r="M33" s="26"/>
      <c r="N33" s="26"/>
      <c r="O33" s="26"/>
      <c r="P33" s="26"/>
      <c r="Q33" s="26"/>
      <c r="R33" s="26"/>
      <c r="S33" s="26"/>
    </row>
    <row r="34" spans="1:22" s="26" customFormat="1" ht="22.5" customHeight="1">
      <c r="A34" s="27"/>
      <c r="B34" s="86"/>
      <c r="C34" s="86"/>
      <c r="D34" s="86"/>
      <c r="E34" s="188"/>
      <c r="F34" s="188"/>
      <c r="G34" s="188"/>
      <c r="H34" s="188"/>
      <c r="I34" s="35"/>
      <c r="J34" s="27"/>
      <c r="K34" s="1"/>
      <c r="T34" s="1"/>
      <c r="U34" s="1"/>
      <c r="V34" s="1"/>
    </row>
    <row r="35" spans="1:22" s="26" customFormat="1" ht="22.5" customHeight="1">
      <c r="A35" s="27"/>
      <c r="B35" s="86"/>
      <c r="C35" s="86"/>
      <c r="D35" s="86"/>
      <c r="E35" s="188"/>
      <c r="F35" s="188"/>
      <c r="G35" s="188"/>
      <c r="H35" s="188"/>
      <c r="I35" s="35"/>
      <c r="J35" s="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s="26" customFormat="1" ht="22.5" customHeight="1">
      <c r="B36" s="86"/>
      <c r="C36" s="86"/>
      <c r="D36" s="86"/>
      <c r="E36" s="188"/>
      <c r="F36" s="188"/>
      <c r="G36" s="188"/>
      <c r="H36" s="188"/>
      <c r="I36" s="35"/>
    </row>
    <row r="37" spans="1:22" s="26" customFormat="1" ht="22.5" customHeight="1">
      <c r="B37" s="86"/>
      <c r="C37" s="86"/>
      <c r="D37" s="86"/>
      <c r="E37" s="188"/>
      <c r="F37" s="188"/>
      <c r="G37" s="188"/>
      <c r="H37" s="188"/>
      <c r="I37" s="35"/>
    </row>
    <row r="38" spans="1:22" s="26" customFormat="1" ht="22.5" customHeight="1">
      <c r="B38" s="86"/>
      <c r="C38" s="86"/>
      <c r="D38" s="86"/>
      <c r="E38" s="188"/>
      <c r="F38" s="188"/>
      <c r="G38" s="188"/>
      <c r="H38" s="188"/>
      <c r="I38" s="35"/>
    </row>
    <row r="39" spans="1:22" s="26" customFormat="1" ht="22.5" customHeight="1">
      <c r="B39" s="86"/>
      <c r="C39" s="86"/>
      <c r="D39" s="86"/>
      <c r="E39" s="188"/>
      <c r="F39" s="188"/>
      <c r="G39" s="188"/>
      <c r="H39" s="188"/>
      <c r="I39" s="35"/>
    </row>
    <row r="40" spans="1:22" s="26" customFormat="1" ht="22.5" customHeight="1">
      <c r="B40" s="87"/>
      <c r="C40" s="87"/>
      <c r="D40" s="87"/>
      <c r="E40" s="185"/>
      <c r="F40" s="186"/>
      <c r="G40" s="185"/>
      <c r="H40" s="187"/>
      <c r="I40" s="37"/>
    </row>
    <row r="41" spans="1:22" s="26" customFormat="1" ht="5.25" customHeight="1">
      <c r="B41" s="28"/>
      <c r="C41" s="28"/>
      <c r="D41" s="28"/>
      <c r="E41" s="28"/>
      <c r="F41" s="29"/>
      <c r="G41" s="23"/>
      <c r="H41" s="29"/>
      <c r="I41" s="30"/>
    </row>
    <row r="42" spans="1:22" ht="3.75" customHeight="1">
      <c r="B42" s="75"/>
      <c r="C42" s="75"/>
      <c r="D42" s="75"/>
      <c r="E42" s="75"/>
      <c r="F42" s="75"/>
      <c r="G42" s="75"/>
      <c r="H42" s="75"/>
      <c r="I42" s="75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spans="1:22" ht="24.75" customHeight="1" thickTop="1">
      <c r="B43" s="163" t="s">
        <v>57</v>
      </c>
      <c r="C43" s="163"/>
      <c r="D43" s="163"/>
      <c r="E43" s="163"/>
      <c r="F43" s="99"/>
      <c r="G43" s="31"/>
      <c r="H43" s="31"/>
      <c r="I43" s="33" t="s">
        <v>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spans="1:22" s="100" customFormat="1" ht="17.5">
      <c r="B44" s="103"/>
      <c r="C44" s="103"/>
      <c r="D44" s="103"/>
      <c r="E44" s="103"/>
      <c r="F44" s="101"/>
      <c r="G44" s="103"/>
      <c r="H44" s="103"/>
      <c r="I44" s="101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</row>
    <row r="45" spans="1:22" s="100" customFormat="1" ht="15" customHeight="1"/>
    <row r="46" spans="1:22" s="100" customFormat="1" ht="15" customHeight="1">
      <c r="C46" s="102"/>
    </row>
    <row r="47" spans="1:22" s="100" customFormat="1" ht="15" customHeight="1">
      <c r="C47" s="102"/>
    </row>
    <row r="48" spans="1:22" s="100" customFormat="1" ht="15" customHeight="1"/>
    <row r="49" spans="11:22" s="100" customFormat="1" ht="15" customHeight="1"/>
    <row r="50" spans="11:22" s="100" customFormat="1" ht="15" customHeight="1"/>
    <row r="51" spans="11:22" s="100" customFormat="1" ht="15" customHeight="1"/>
    <row r="52" spans="11:22" s="100" customFormat="1" ht="15" customHeight="1"/>
    <row r="53" spans="11:22" s="100" customFormat="1" ht="15" customHeight="1"/>
    <row r="54" spans="11:22" s="100" customFormat="1" ht="15" customHeight="1"/>
    <row r="55" spans="11:22" s="100" customFormat="1" ht="15" customHeight="1"/>
    <row r="56" spans="11:22" s="100" customFormat="1" ht="15" customHeight="1"/>
    <row r="57" spans="11:22" s="100" customFormat="1" ht="15" customHeight="1"/>
    <row r="58" spans="11:22" s="100" customFormat="1" ht="15" customHeight="1"/>
    <row r="59" spans="11:22" s="100" customFormat="1" ht="15" customHeight="1"/>
    <row r="60" spans="11:22" s="100" customFormat="1" ht="15" customHeight="1"/>
    <row r="61" spans="11:22" s="100" customFormat="1" ht="15" customHeight="1"/>
    <row r="62" spans="11:22" s="100" customFormat="1" ht="15" customHeight="1"/>
    <row r="63" spans="11:22" s="100" customFormat="1" ht="15" customHeight="1"/>
    <row r="64" spans="11:22" ht="15" customHeight="1"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spans="11:22" ht="15" customHeight="1"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spans="11:22" ht="15" customHeight="1"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spans="11:22" ht="15" customHeight="1"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spans="11:22" ht="15" customHeight="1"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spans="11:22" ht="15" customHeight="1"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spans="11:22" ht="15" customHeight="1"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</row>
    <row r="71" spans="11:22" ht="15" customHeight="1"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</row>
    <row r="72" spans="11:22" ht="15" customHeight="1"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</row>
    <row r="73" spans="11:22" ht="15" customHeight="1"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</row>
    <row r="74" spans="11:22" ht="15" customHeight="1"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</row>
    <row r="75" spans="11:22" ht="15" customHeight="1"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</row>
    <row r="76" spans="11:22" ht="15" customHeight="1"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spans="11:22" ht="15" customHeight="1"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spans="11:22" ht="15" customHeight="1"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spans="11:22" ht="15" customHeight="1"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spans="11:22" ht="15" customHeight="1"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spans="11:22" ht="15" customHeight="1"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spans="11:22" ht="15" customHeight="1"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spans="11:22" ht="15" customHeight="1"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spans="11:22" ht="15" customHeight="1"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spans="11:22" ht="15" customHeight="1"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spans="11:22" ht="15" customHeight="1"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spans="11:22" ht="15" customHeight="1"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</row>
    <row r="88" spans="11:22" ht="15" customHeight="1"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spans="11:22" ht="15" customHeight="1"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spans="11:22" ht="15" customHeight="1"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</row>
    <row r="91" spans="11:22" ht="15" customHeight="1"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</row>
    <row r="92" spans="11:22" ht="15" customHeight="1"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</row>
    <row r="93" spans="11:22" ht="15" customHeight="1"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 spans="11:22" ht="15" customHeight="1"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 spans="11:22" ht="15" customHeight="1"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 spans="11:22" ht="15" customHeight="1"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 spans="11:22" ht="15" customHeight="1"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 spans="11:22" ht="15" customHeight="1"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 spans="11:22" ht="15" customHeight="1"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</row>
    <row r="100" spans="11:22" ht="15" customHeight="1"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</row>
    <row r="101" spans="11:22" ht="15" customHeight="1"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</row>
    <row r="102" spans="11:22" ht="15" customHeight="1"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</row>
    <row r="103" spans="11:22" ht="15" customHeight="1"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</row>
    <row r="104" spans="11:22" ht="15" customHeight="1"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</row>
    <row r="105" spans="11:22" ht="15" customHeight="1"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</row>
    <row r="106" spans="11:22" ht="15" customHeight="1"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</row>
    <row r="107" spans="11:22" ht="15" customHeight="1"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</row>
    <row r="108" spans="11:22" ht="15" customHeight="1"/>
    <row r="109" spans="11:22" ht="15" customHeight="1"/>
    <row r="110" spans="11:22" ht="15" customHeight="1"/>
    <row r="111" spans="11:22" ht="15" customHeight="1"/>
    <row r="112" spans="11:2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</sheetData>
  <sheetProtection algorithmName="SHA-512" hashValue="sZrIXV2meRT5A+W60QGAYsw/+rZIxP6AsX54Igshq0Ukpyp5aBOSIeOpgM4zGGrta63/QmFxa1vPm6IoRsXwag==" saltValue="xNNe5S8/7i0ANEBCW3I2vg==" spinCount="100000" sheet="1" objects="1" scenarios="1" selectLockedCells="1"/>
  <mergeCells count="76">
    <mergeCell ref="E2:H2"/>
    <mergeCell ref="B43:E43"/>
    <mergeCell ref="E4:F4"/>
    <mergeCell ref="G4:H4"/>
    <mergeCell ref="E5:F5"/>
    <mergeCell ref="G5:H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40:F40"/>
    <mergeCell ref="G40:H40"/>
    <mergeCell ref="E37:F37"/>
    <mergeCell ref="G37:H37"/>
    <mergeCell ref="E38:F38"/>
    <mergeCell ref="G38:H38"/>
    <mergeCell ref="E39:F39"/>
    <mergeCell ref="G39:H39"/>
  </mergeCells>
  <phoneticPr fontId="1" type="noConversion"/>
  <conditionalFormatting sqref="B17:I40 C14:H14">
    <cfRule type="containsBlanks" dxfId="21" priority="26">
      <formula>LEN(TRIM(B14))=0</formula>
    </cfRule>
  </conditionalFormatting>
  <conditionalFormatting sqref="B15:I16">
    <cfRule type="containsBlanks" dxfId="20" priority="24">
      <formula>LEN(TRIM(B15))=0</formula>
    </cfRule>
  </conditionalFormatting>
  <conditionalFormatting sqref="B5:B14">
    <cfRule type="containsBlanks" dxfId="19" priority="6">
      <formula>LEN(TRIM(B5))=0</formula>
    </cfRule>
  </conditionalFormatting>
  <conditionalFormatting sqref="C5:C13">
    <cfRule type="containsBlanks" dxfId="18" priority="5">
      <formula>LEN(TRIM(C5))=0</formula>
    </cfRule>
  </conditionalFormatting>
  <conditionalFormatting sqref="D5:D13">
    <cfRule type="containsBlanks" dxfId="17" priority="4">
      <formula>LEN(TRIM(D5))=0</formula>
    </cfRule>
  </conditionalFormatting>
  <conditionalFormatting sqref="E5:F13">
    <cfRule type="containsBlanks" dxfId="16" priority="3">
      <formula>LEN(TRIM(E5))=0</formula>
    </cfRule>
  </conditionalFormatting>
  <conditionalFormatting sqref="G5:H13">
    <cfRule type="containsBlanks" dxfId="15" priority="2">
      <formula>LEN(TRIM(G5))=0</formula>
    </cfRule>
  </conditionalFormatting>
  <conditionalFormatting sqref="I5:I14">
    <cfRule type="containsBlanks" dxfId="14" priority="1">
      <formula>LEN(TRIM(I5))=0</formula>
    </cfRule>
  </conditionalFormatting>
  <dataValidations count="2">
    <dataValidation type="list" allowBlank="1" showInputMessage="1" showErrorMessage="1" sqref="B41" xr:uid="{00000000-0002-0000-0500-000000000000}">
      <formula1>"통신비,야근식대,접대비(↓10),접대비(↑10),업무추진비,기타(지출증빙),기타(간이)"</formula1>
    </dataValidation>
    <dataValidation type="list" allowBlank="1" showInputMessage="1" showErrorMessage="1" sqref="B5:B40" xr:uid="{00000000-0002-0000-0500-000001000000}">
      <formula1>"야근식대,휴일식대,접대비,회식비,회의식대,우편물 발송,택배비,소모품비,도서인쇄비,지급수수료,기타(법인카드)"</formula1>
    </dataValidation>
  </dataValidations>
  <printOptions horizontalCentered="1"/>
  <pageMargins left="0.24" right="0.24" top="0.31" bottom="0.35" header="0.31" footer="0.31"/>
  <pageSetup paperSize="9" scale="8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6337778862885"/>
    <pageSetUpPr fitToPage="1"/>
  </sheetPr>
  <dimension ref="A1:V169"/>
  <sheetViews>
    <sheetView showGridLines="0" zoomScale="70" zoomScaleNormal="70" workbookViewId="0">
      <selection activeCell="B5" sqref="B5"/>
    </sheetView>
  </sheetViews>
  <sheetFormatPr defaultColWidth="9" defaultRowHeight="30" customHeight="1"/>
  <cols>
    <col min="1" max="1" width="1.5" style="1" customWidth="1"/>
    <col min="2" max="2" width="15.25" style="1" customWidth="1"/>
    <col min="3" max="3" width="3.33203125" style="1" customWidth="1"/>
    <col min="4" max="4" width="13.5" style="1" customWidth="1"/>
    <col min="5" max="6" width="14.58203125" style="1" customWidth="1"/>
    <col min="7" max="7" width="14.83203125" style="1" customWidth="1"/>
    <col min="8" max="8" width="16.75" style="1" customWidth="1"/>
    <col min="9" max="9" width="13.83203125" style="1" customWidth="1"/>
    <col min="10" max="10" width="1.5" style="1" customWidth="1"/>
    <col min="11" max="11" width="9" style="1" customWidth="1"/>
    <col min="12" max="16384" width="9" style="1"/>
  </cols>
  <sheetData>
    <row r="1" spans="2:22" ht="15" customHeight="1"/>
    <row r="2" spans="2:22" ht="21" customHeight="1" thickBot="1">
      <c r="B2" s="63"/>
      <c r="C2" s="63"/>
      <c r="D2" s="63"/>
      <c r="E2" s="245" t="s">
        <v>59</v>
      </c>
      <c r="F2" s="245"/>
      <c r="G2" s="245"/>
      <c r="H2" s="245"/>
      <c r="I2" s="64" t="s">
        <v>42</v>
      </c>
    </row>
    <row r="3" spans="2:22" ht="6.75" customHeight="1" thickTop="1">
      <c r="B3" s="31"/>
      <c r="C3" s="31"/>
      <c r="D3" s="31"/>
      <c r="E3" s="31"/>
      <c r="F3" s="31"/>
      <c r="G3" s="31"/>
      <c r="H3" s="31"/>
      <c r="I3" s="31"/>
    </row>
    <row r="4" spans="2:22" s="4" customFormat="1" ht="19.5" customHeight="1">
      <c r="B4" s="94" t="s">
        <v>1</v>
      </c>
      <c r="C4" s="124" t="s">
        <v>2</v>
      </c>
      <c r="D4" s="95" t="s">
        <v>7</v>
      </c>
      <c r="E4" s="159" t="s">
        <v>3</v>
      </c>
      <c r="F4" s="160"/>
      <c r="G4" s="159" t="s">
        <v>8</v>
      </c>
      <c r="H4" s="161"/>
      <c r="I4" s="94" t="s">
        <v>4</v>
      </c>
    </row>
    <row r="5" spans="2:22" s="4" customFormat="1" ht="22.5" customHeight="1">
      <c r="B5" s="92"/>
      <c r="C5" s="92"/>
      <c r="D5" s="92"/>
      <c r="E5" s="246"/>
      <c r="F5" s="246"/>
      <c r="G5" s="246"/>
      <c r="H5" s="246"/>
      <c r="I5" s="35"/>
    </row>
    <row r="6" spans="2:22" s="4" customFormat="1" ht="22.5" customHeight="1">
      <c r="B6" s="92"/>
      <c r="C6" s="92"/>
      <c r="D6" s="92"/>
      <c r="E6" s="246"/>
      <c r="F6" s="246"/>
      <c r="G6" s="246"/>
      <c r="H6" s="246"/>
      <c r="I6" s="35"/>
    </row>
    <row r="7" spans="2:22" s="14" customFormat="1" ht="22.5" customHeight="1">
      <c r="B7" s="92"/>
      <c r="C7" s="92"/>
      <c r="D7" s="92"/>
      <c r="E7" s="246"/>
      <c r="F7" s="246"/>
      <c r="G7" s="246"/>
      <c r="H7" s="246"/>
      <c r="I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2:22" s="14" customFormat="1" ht="22.5" customHeight="1">
      <c r="B8" s="92"/>
      <c r="C8" s="92"/>
      <c r="D8" s="92"/>
      <c r="E8" s="246"/>
      <c r="F8" s="246"/>
      <c r="G8" s="246"/>
      <c r="H8" s="246"/>
      <c r="I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2:22" s="14" customFormat="1" ht="22.5" customHeight="1">
      <c r="B9" s="92"/>
      <c r="C9" s="92"/>
      <c r="D9" s="92"/>
      <c r="E9" s="246"/>
      <c r="F9" s="246"/>
      <c r="G9" s="246"/>
      <c r="H9" s="246"/>
      <c r="I9" s="3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2:22" ht="22.5" customHeight="1">
      <c r="B10" s="92"/>
      <c r="C10" s="92"/>
      <c r="D10" s="92"/>
      <c r="E10" s="246"/>
      <c r="F10" s="246"/>
      <c r="G10" s="246"/>
      <c r="H10" s="246"/>
      <c r="I10" s="35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2:22" ht="22.5" customHeight="1">
      <c r="B11" s="92"/>
      <c r="C11" s="92"/>
      <c r="D11" s="92"/>
      <c r="E11" s="246"/>
      <c r="F11" s="246"/>
      <c r="G11" s="246"/>
      <c r="H11" s="246"/>
      <c r="I11" s="35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2:22" ht="22.5" customHeight="1">
      <c r="B12" s="92"/>
      <c r="C12" s="92"/>
      <c r="D12" s="92"/>
      <c r="E12" s="246"/>
      <c r="F12" s="246"/>
      <c r="G12" s="246"/>
      <c r="H12" s="246"/>
      <c r="I12" s="35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2:22" ht="22.5" customHeight="1">
      <c r="B13" s="92"/>
      <c r="C13" s="92"/>
      <c r="D13" s="92"/>
      <c r="E13" s="246"/>
      <c r="F13" s="246"/>
      <c r="G13" s="246"/>
      <c r="H13" s="246"/>
      <c r="I13" s="35"/>
    </row>
    <row r="14" spans="2:22" ht="22.5" customHeight="1">
      <c r="B14" s="92"/>
      <c r="C14" s="92"/>
      <c r="D14" s="92"/>
      <c r="E14" s="246"/>
      <c r="F14" s="246"/>
      <c r="G14" s="246"/>
      <c r="H14" s="246"/>
      <c r="I14" s="35"/>
    </row>
    <row r="15" spans="2:22" ht="22.5" customHeight="1">
      <c r="B15" s="92"/>
      <c r="C15" s="92"/>
      <c r="D15" s="92"/>
      <c r="E15" s="246"/>
      <c r="F15" s="246"/>
      <c r="G15" s="246"/>
      <c r="H15" s="246"/>
      <c r="I15" s="35"/>
    </row>
    <row r="16" spans="2:22" ht="22.5" customHeight="1">
      <c r="B16" s="92"/>
      <c r="C16" s="92"/>
      <c r="D16" s="92"/>
      <c r="E16" s="246"/>
      <c r="F16" s="246"/>
      <c r="G16" s="246"/>
      <c r="H16" s="246"/>
      <c r="I16" s="35"/>
    </row>
    <row r="17" spans="2:19" ht="22.5" customHeight="1">
      <c r="B17" s="92"/>
      <c r="C17" s="92"/>
      <c r="D17" s="92"/>
      <c r="E17" s="246"/>
      <c r="F17" s="246"/>
      <c r="G17" s="246"/>
      <c r="H17" s="246"/>
      <c r="I17" s="35"/>
    </row>
    <row r="18" spans="2:19" ht="22.5" customHeight="1">
      <c r="B18" s="92"/>
      <c r="C18" s="92"/>
      <c r="D18" s="92"/>
      <c r="E18" s="246"/>
      <c r="F18" s="246"/>
      <c r="G18" s="246"/>
      <c r="H18" s="246"/>
      <c r="I18" s="35"/>
    </row>
    <row r="19" spans="2:19" ht="22.5" customHeight="1">
      <c r="B19" s="92"/>
      <c r="C19" s="92"/>
      <c r="D19" s="92"/>
      <c r="E19" s="246"/>
      <c r="F19" s="246"/>
      <c r="G19" s="246"/>
      <c r="H19" s="246"/>
      <c r="I19" s="35"/>
    </row>
    <row r="20" spans="2:19" ht="22.5" customHeight="1">
      <c r="B20" s="92"/>
      <c r="C20" s="92"/>
      <c r="D20" s="92"/>
      <c r="E20" s="246"/>
      <c r="F20" s="246"/>
      <c r="G20" s="246"/>
      <c r="H20" s="246"/>
      <c r="I20" s="35"/>
    </row>
    <row r="21" spans="2:19" ht="22.5" customHeight="1">
      <c r="B21" s="92"/>
      <c r="C21" s="92"/>
      <c r="D21" s="92"/>
      <c r="E21" s="246"/>
      <c r="F21" s="246"/>
      <c r="G21" s="246"/>
      <c r="H21" s="246"/>
      <c r="I21" s="35"/>
    </row>
    <row r="22" spans="2:19" ht="22.5" customHeight="1">
      <c r="B22" s="92"/>
      <c r="C22" s="92"/>
      <c r="D22" s="92"/>
      <c r="E22" s="246"/>
      <c r="F22" s="246"/>
      <c r="G22" s="246"/>
      <c r="H22" s="246"/>
      <c r="I22" s="35"/>
    </row>
    <row r="23" spans="2:19" ht="22.5" customHeight="1">
      <c r="B23" s="92"/>
      <c r="C23" s="92"/>
      <c r="D23" s="92"/>
      <c r="E23" s="246"/>
      <c r="F23" s="246"/>
      <c r="G23" s="246"/>
      <c r="H23" s="246"/>
      <c r="I23" s="35"/>
    </row>
    <row r="24" spans="2:19" ht="22.5" customHeight="1">
      <c r="B24" s="92"/>
      <c r="C24" s="92"/>
      <c r="D24" s="92"/>
      <c r="E24" s="246"/>
      <c r="F24" s="246"/>
      <c r="G24" s="246"/>
      <c r="H24" s="246"/>
      <c r="I24" s="35"/>
    </row>
    <row r="25" spans="2:19" ht="22.5" customHeight="1">
      <c r="B25" s="92"/>
      <c r="C25" s="92"/>
      <c r="D25" s="92"/>
      <c r="E25" s="246"/>
      <c r="F25" s="246"/>
      <c r="G25" s="246"/>
      <c r="H25" s="246"/>
      <c r="I25" s="35"/>
    </row>
    <row r="26" spans="2:19" ht="22.5" customHeight="1">
      <c r="B26" s="86"/>
      <c r="C26" s="86"/>
      <c r="D26" s="86"/>
      <c r="E26" s="188"/>
      <c r="F26" s="188"/>
      <c r="G26" s="188"/>
      <c r="H26" s="188"/>
      <c r="I26" s="35"/>
      <c r="L26" s="25"/>
    </row>
    <row r="27" spans="2:19" ht="22.5" customHeight="1">
      <c r="B27" s="86"/>
      <c r="C27" s="86"/>
      <c r="D27" s="86"/>
      <c r="E27" s="188"/>
      <c r="F27" s="188"/>
      <c r="G27" s="188"/>
      <c r="H27" s="188"/>
      <c r="I27" s="35"/>
    </row>
    <row r="28" spans="2:19" ht="22.5" customHeight="1">
      <c r="B28" s="86"/>
      <c r="C28" s="86"/>
      <c r="D28" s="86"/>
      <c r="E28" s="188"/>
      <c r="F28" s="188"/>
      <c r="G28" s="188"/>
      <c r="H28" s="188"/>
      <c r="I28" s="35"/>
      <c r="L28" s="14" t="s">
        <v>32</v>
      </c>
    </row>
    <row r="29" spans="2:19" ht="22.5" customHeight="1">
      <c r="B29" s="86"/>
      <c r="C29" s="86"/>
      <c r="D29" s="86"/>
      <c r="E29" s="188"/>
      <c r="F29" s="188"/>
      <c r="G29" s="188"/>
      <c r="H29" s="188"/>
      <c r="I29" s="35"/>
    </row>
    <row r="30" spans="2:19" ht="22.5" customHeight="1">
      <c r="B30" s="86"/>
      <c r="C30" s="86"/>
      <c r="D30" s="86"/>
      <c r="E30" s="188"/>
      <c r="F30" s="188"/>
      <c r="G30" s="188"/>
      <c r="H30" s="188"/>
      <c r="I30" s="35"/>
    </row>
    <row r="31" spans="2:19" ht="22.5" customHeight="1">
      <c r="B31" s="86"/>
      <c r="C31" s="86"/>
      <c r="D31" s="86"/>
      <c r="E31" s="188"/>
      <c r="F31" s="188"/>
      <c r="G31" s="188"/>
      <c r="H31" s="188"/>
      <c r="I31" s="35"/>
    </row>
    <row r="32" spans="2:19" ht="22.5" customHeight="1">
      <c r="B32" s="86"/>
      <c r="C32" s="86"/>
      <c r="D32" s="86"/>
      <c r="E32" s="188"/>
      <c r="F32" s="188"/>
      <c r="G32" s="188"/>
      <c r="H32" s="188"/>
      <c r="I32" s="35"/>
      <c r="L32" s="26"/>
      <c r="M32" s="26"/>
      <c r="N32" s="26"/>
      <c r="O32" s="26"/>
      <c r="P32" s="26"/>
      <c r="Q32" s="26"/>
      <c r="R32" s="26"/>
      <c r="S32" s="26"/>
    </row>
    <row r="33" spans="1:22" ht="22.5" customHeight="1">
      <c r="B33" s="86"/>
      <c r="C33" s="86"/>
      <c r="D33" s="86"/>
      <c r="E33" s="188"/>
      <c r="F33" s="188"/>
      <c r="G33" s="188"/>
      <c r="H33" s="188"/>
      <c r="I33" s="35"/>
      <c r="L33" s="26"/>
      <c r="M33" s="26"/>
      <c r="N33" s="26"/>
      <c r="O33" s="26"/>
      <c r="P33" s="26"/>
      <c r="Q33" s="26"/>
      <c r="R33" s="26"/>
      <c r="S33" s="26"/>
    </row>
    <row r="34" spans="1:22" s="26" customFormat="1" ht="22.5" customHeight="1">
      <c r="A34" s="27"/>
      <c r="B34" s="86"/>
      <c r="C34" s="86"/>
      <c r="D34" s="86"/>
      <c r="E34" s="188"/>
      <c r="F34" s="188"/>
      <c r="G34" s="188"/>
      <c r="H34" s="188"/>
      <c r="I34" s="35"/>
      <c r="J34" s="27"/>
      <c r="K34" s="1"/>
      <c r="T34" s="1"/>
      <c r="U34" s="1"/>
      <c r="V34" s="1"/>
    </row>
    <row r="35" spans="1:22" s="26" customFormat="1" ht="22.5" customHeight="1">
      <c r="A35" s="27"/>
      <c r="B35" s="86"/>
      <c r="C35" s="86"/>
      <c r="D35" s="86"/>
      <c r="E35" s="188"/>
      <c r="F35" s="188"/>
      <c r="G35" s="188"/>
      <c r="H35" s="188"/>
      <c r="I35" s="35"/>
      <c r="J35" s="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s="26" customFormat="1" ht="22.5" customHeight="1">
      <c r="B36" s="86"/>
      <c r="C36" s="86"/>
      <c r="D36" s="86"/>
      <c r="E36" s="188"/>
      <c r="F36" s="188"/>
      <c r="G36" s="188"/>
      <c r="H36" s="188"/>
      <c r="I36" s="35"/>
    </row>
    <row r="37" spans="1:22" s="26" customFormat="1" ht="22.5" customHeight="1">
      <c r="B37" s="86"/>
      <c r="C37" s="86"/>
      <c r="D37" s="86"/>
      <c r="E37" s="188"/>
      <c r="F37" s="188"/>
      <c r="G37" s="188"/>
      <c r="H37" s="188"/>
      <c r="I37" s="35"/>
    </row>
    <row r="38" spans="1:22" s="26" customFormat="1" ht="22.5" customHeight="1">
      <c r="B38" s="86"/>
      <c r="C38" s="86"/>
      <c r="D38" s="86"/>
      <c r="E38" s="188"/>
      <c r="F38" s="188"/>
      <c r="G38" s="188"/>
      <c r="H38" s="188"/>
      <c r="I38" s="35"/>
    </row>
    <row r="39" spans="1:22" s="26" customFormat="1" ht="22.5" customHeight="1">
      <c r="B39" s="86"/>
      <c r="C39" s="86"/>
      <c r="D39" s="86"/>
      <c r="E39" s="188"/>
      <c r="F39" s="188"/>
      <c r="G39" s="188"/>
      <c r="H39" s="188"/>
      <c r="I39" s="35"/>
    </row>
    <row r="40" spans="1:22" s="26" customFormat="1" ht="22.5" customHeight="1">
      <c r="B40" s="87"/>
      <c r="C40" s="87"/>
      <c r="D40" s="87"/>
      <c r="E40" s="185"/>
      <c r="F40" s="186"/>
      <c r="G40" s="185"/>
      <c r="H40" s="187"/>
      <c r="I40" s="37"/>
    </row>
    <row r="41" spans="1:22" s="26" customFormat="1" ht="5.25" customHeight="1">
      <c r="B41" s="28"/>
      <c r="C41" s="28"/>
      <c r="D41" s="28"/>
      <c r="E41" s="28"/>
      <c r="F41" s="29"/>
      <c r="G41" s="23"/>
      <c r="H41" s="29"/>
      <c r="I41" s="30"/>
    </row>
    <row r="42" spans="1:22" ht="3.75" customHeight="1" thickBot="1">
      <c r="B42" s="75"/>
      <c r="C42" s="75"/>
      <c r="D42" s="75"/>
      <c r="E42" s="75"/>
      <c r="F42" s="75"/>
      <c r="G42" s="75"/>
      <c r="H42" s="75"/>
      <c r="I42" s="75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spans="1:22" ht="24.75" customHeight="1" thickTop="1">
      <c r="B43" s="163" t="s">
        <v>57</v>
      </c>
      <c r="C43" s="163"/>
      <c r="D43" s="163"/>
      <c r="E43" s="163"/>
      <c r="F43" s="99"/>
      <c r="G43" s="31"/>
      <c r="H43" s="31"/>
      <c r="I43" s="33" t="s">
        <v>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spans="1:22" s="100" customFormat="1" ht="17.5">
      <c r="B44" s="103"/>
      <c r="C44" s="103"/>
      <c r="D44" s="103"/>
      <c r="E44" s="103"/>
      <c r="F44" s="101"/>
      <c r="G44" s="103"/>
      <c r="H44" s="103"/>
      <c r="I44" s="101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</row>
    <row r="45" spans="1:22" s="100" customFormat="1" ht="15" customHeight="1"/>
    <row r="46" spans="1:22" s="100" customFormat="1" ht="15" customHeight="1">
      <c r="C46" s="102"/>
    </row>
    <row r="47" spans="1:22" s="100" customFormat="1" ht="15" customHeight="1">
      <c r="C47" s="102"/>
    </row>
    <row r="48" spans="1:22" s="100" customFormat="1" ht="15" customHeight="1"/>
    <row r="49" spans="11:22" s="100" customFormat="1" ht="15" customHeight="1"/>
    <row r="50" spans="11:22" s="100" customFormat="1" ht="15" customHeight="1"/>
    <row r="51" spans="11:22" s="100" customFormat="1" ht="15" customHeight="1"/>
    <row r="52" spans="11:22" s="100" customFormat="1" ht="15" customHeight="1"/>
    <row r="53" spans="11:22" s="100" customFormat="1" ht="15" customHeight="1"/>
    <row r="54" spans="11:22" s="100" customFormat="1" ht="15" customHeight="1"/>
    <row r="55" spans="11:22" s="100" customFormat="1" ht="15" customHeight="1"/>
    <row r="56" spans="11:22" s="100" customFormat="1" ht="15" customHeight="1"/>
    <row r="57" spans="11:22" s="100" customFormat="1" ht="15" customHeight="1"/>
    <row r="58" spans="11:22" s="100" customFormat="1" ht="15" customHeight="1"/>
    <row r="59" spans="11:22" ht="15" customHeight="1"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spans="11:22" ht="15" customHeight="1"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</row>
    <row r="61" spans="11:22" ht="15" customHeight="1"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spans="11:22" ht="15" customHeight="1"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spans="11:22" ht="15" customHeight="1"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spans="11:22" ht="15" customHeight="1"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spans="11:22" ht="15" customHeight="1"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spans="11:22" ht="15" customHeight="1"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spans="11:22" ht="15" customHeight="1"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spans="11:22" ht="15" customHeight="1"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spans="11:22" ht="15" customHeight="1"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spans="11:22" ht="15" customHeight="1"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</row>
    <row r="71" spans="11:22" ht="15" customHeight="1"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</row>
    <row r="72" spans="11:22" ht="15" customHeight="1"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</row>
    <row r="73" spans="11:22" ht="15" customHeight="1"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</row>
    <row r="74" spans="11:22" ht="15" customHeight="1"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</row>
    <row r="75" spans="11:22" ht="15" customHeight="1"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</row>
    <row r="76" spans="11:22" ht="15" customHeight="1"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spans="11:22" ht="15" customHeight="1"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spans="11:22" ht="15" customHeight="1"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spans="11:22" ht="15" customHeight="1"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spans="11:22" ht="15" customHeight="1"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spans="11:22" ht="15" customHeight="1"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spans="11:22" ht="15" customHeight="1"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spans="11:22" ht="15" customHeight="1"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spans="11:22" ht="15" customHeight="1"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spans="11:22" ht="15" customHeight="1"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spans="11:22" ht="15" customHeight="1"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spans="11:22" ht="15" customHeight="1"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</row>
    <row r="88" spans="11:22" ht="15" customHeight="1"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spans="11:22" ht="15" customHeight="1"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spans="11:22" ht="15" customHeight="1"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</row>
    <row r="91" spans="11:22" ht="15" customHeight="1"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</row>
    <row r="92" spans="11:22" ht="15" customHeight="1"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</row>
    <row r="93" spans="11:22" ht="15" customHeight="1"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 spans="11:22" ht="15" customHeight="1"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 spans="11:22" ht="15" customHeight="1"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 spans="11:22" ht="15" customHeight="1"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 spans="11:22" ht="15" customHeight="1"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 spans="11:22" ht="15" customHeight="1"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 spans="11:22" ht="15" customHeight="1"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</row>
    <row r="100" spans="11:22" ht="15" customHeight="1"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</row>
    <row r="101" spans="11:22" ht="15" customHeight="1"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</row>
    <row r="102" spans="11:22" ht="15" customHeight="1"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</row>
    <row r="103" spans="11:22" ht="15" customHeight="1"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</row>
    <row r="104" spans="11:22" ht="15" customHeight="1"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</row>
    <row r="105" spans="11:22" ht="15" customHeight="1"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</row>
    <row r="106" spans="11:22" ht="15" customHeight="1"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</row>
    <row r="107" spans="11:22" ht="15" customHeight="1"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</row>
    <row r="108" spans="11:22" ht="15" customHeight="1"/>
    <row r="109" spans="11:22" ht="15" customHeight="1"/>
    <row r="110" spans="11:22" ht="15" customHeight="1"/>
    <row r="111" spans="11:22" ht="15" customHeight="1"/>
    <row r="112" spans="11:2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</sheetData>
  <sheetProtection algorithmName="SHA-512" hashValue="HUqAG/E5hruP8sMG6dzN+3eRL+x073Cnl9EgsuFSLPm6O2v19xgHnN7v7RuNBPZNnjmxx+2QiOiN9Z4+X1qfIw==" saltValue="35mEIe8+7rAduCpyECrhbA==" spinCount="100000" sheet="1" objects="1" scenarios="1" selectLockedCells="1"/>
  <mergeCells count="76">
    <mergeCell ref="E40:F40"/>
    <mergeCell ref="G40:H40"/>
    <mergeCell ref="B43:E43"/>
    <mergeCell ref="E37:F37"/>
    <mergeCell ref="G37:H37"/>
    <mergeCell ref="E38:F38"/>
    <mergeCell ref="G38:H38"/>
    <mergeCell ref="E39:F39"/>
    <mergeCell ref="G39:H39"/>
    <mergeCell ref="E34:F34"/>
    <mergeCell ref="G34:H34"/>
    <mergeCell ref="E35:F35"/>
    <mergeCell ref="G35:H35"/>
    <mergeCell ref="E36:F36"/>
    <mergeCell ref="G36:H36"/>
    <mergeCell ref="E31:F31"/>
    <mergeCell ref="G31:H31"/>
    <mergeCell ref="E32:F32"/>
    <mergeCell ref="G32:H32"/>
    <mergeCell ref="E33:F33"/>
    <mergeCell ref="G33:H33"/>
    <mergeCell ref="E28:F28"/>
    <mergeCell ref="G28:H28"/>
    <mergeCell ref="E29:F29"/>
    <mergeCell ref="G29:H29"/>
    <mergeCell ref="E30:F30"/>
    <mergeCell ref="G30:H30"/>
    <mergeCell ref="E25:F25"/>
    <mergeCell ref="G25:H25"/>
    <mergeCell ref="E26:F26"/>
    <mergeCell ref="G26:H26"/>
    <mergeCell ref="E27:F27"/>
    <mergeCell ref="G27:H27"/>
    <mergeCell ref="E22:F22"/>
    <mergeCell ref="G22:H22"/>
    <mergeCell ref="E23:F23"/>
    <mergeCell ref="G23:H23"/>
    <mergeCell ref="E24:F24"/>
    <mergeCell ref="G24:H24"/>
    <mergeCell ref="E19:F19"/>
    <mergeCell ref="G19:H19"/>
    <mergeCell ref="E20:F20"/>
    <mergeCell ref="G20:H20"/>
    <mergeCell ref="E21:F21"/>
    <mergeCell ref="G21:H21"/>
    <mergeCell ref="E16:F16"/>
    <mergeCell ref="G16:H16"/>
    <mergeCell ref="E17:F17"/>
    <mergeCell ref="G17:H17"/>
    <mergeCell ref="E18:F18"/>
    <mergeCell ref="G18:H18"/>
    <mergeCell ref="E13:F13"/>
    <mergeCell ref="G13:H13"/>
    <mergeCell ref="E14:F14"/>
    <mergeCell ref="G14:H14"/>
    <mergeCell ref="E15:F15"/>
    <mergeCell ref="G15:H15"/>
    <mergeCell ref="E10:F10"/>
    <mergeCell ref="G10:H10"/>
    <mergeCell ref="E11:F11"/>
    <mergeCell ref="G11:H11"/>
    <mergeCell ref="E12:F12"/>
    <mergeCell ref="G12:H12"/>
    <mergeCell ref="E7:F7"/>
    <mergeCell ref="G7:H7"/>
    <mergeCell ref="E8:F8"/>
    <mergeCell ref="G8:H8"/>
    <mergeCell ref="E9:F9"/>
    <mergeCell ref="G9:H9"/>
    <mergeCell ref="E6:F6"/>
    <mergeCell ref="G6:H6"/>
    <mergeCell ref="E2:H2"/>
    <mergeCell ref="E4:F4"/>
    <mergeCell ref="G4:H4"/>
    <mergeCell ref="E5:F5"/>
    <mergeCell ref="G5:H5"/>
  </mergeCells>
  <phoneticPr fontId="45" type="noConversion"/>
  <conditionalFormatting sqref="B17:I40 C14:H14">
    <cfRule type="containsBlanks" dxfId="13" priority="9">
      <formula>LEN(TRIM(B14))=0</formula>
    </cfRule>
  </conditionalFormatting>
  <conditionalFormatting sqref="B16:I16 B15:H15">
    <cfRule type="containsBlanks" dxfId="12" priority="8">
      <formula>LEN(TRIM(B15))=0</formula>
    </cfRule>
  </conditionalFormatting>
  <conditionalFormatting sqref="B5:B14">
    <cfRule type="containsBlanks" dxfId="11" priority="7">
      <formula>LEN(TRIM(B5))=0</formula>
    </cfRule>
  </conditionalFormatting>
  <conditionalFormatting sqref="C5:C13">
    <cfRule type="containsBlanks" dxfId="10" priority="6">
      <formula>LEN(TRIM(C5))=0</formula>
    </cfRule>
  </conditionalFormatting>
  <conditionalFormatting sqref="D5:D13">
    <cfRule type="containsBlanks" dxfId="9" priority="5">
      <formula>LEN(TRIM(D5))=0</formula>
    </cfRule>
  </conditionalFormatting>
  <conditionalFormatting sqref="E5:F13">
    <cfRule type="containsBlanks" dxfId="8" priority="4">
      <formula>LEN(TRIM(E5))=0</formula>
    </cfRule>
  </conditionalFormatting>
  <conditionalFormatting sqref="G5:H13">
    <cfRule type="containsBlanks" dxfId="7" priority="3">
      <formula>LEN(TRIM(G5))=0</formula>
    </cfRule>
  </conditionalFormatting>
  <conditionalFormatting sqref="I5:I14">
    <cfRule type="containsBlanks" dxfId="6" priority="2">
      <formula>LEN(TRIM(I5))=0</formula>
    </cfRule>
  </conditionalFormatting>
  <conditionalFormatting sqref="I15">
    <cfRule type="containsBlanks" dxfId="5" priority="1">
      <formula>LEN(TRIM(I15))=0</formula>
    </cfRule>
  </conditionalFormatting>
  <dataValidations count="2">
    <dataValidation type="list" allowBlank="1" showInputMessage="1" showErrorMessage="1" sqref="B5:B40" xr:uid="{00000000-0002-0000-0600-000000000000}">
      <formula1>"야근식대,휴일식대,접대비,회식비,회의식대,우편물 발송,택배비,소모품비,도서인쇄비,지급수수료,기타(법인카드)"</formula1>
    </dataValidation>
    <dataValidation type="list" allowBlank="1" showInputMessage="1" showErrorMessage="1" sqref="B41" xr:uid="{00000000-0002-0000-0600-000001000000}">
      <formula1>"통신비,야근식대,접대비(↓10),접대비(↑10),업무추진비,기타(지출증빙),기타(간이)"</formula1>
    </dataValidation>
  </dataValidations>
  <printOptions horizontalCentered="1"/>
  <pageMargins left="0.24" right="0.24" top="0.31" bottom="0.35" header="0.31" footer="0.31"/>
  <pageSetup paperSize="9" scale="8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5"/>
    <pageSetUpPr fitToPage="1"/>
  </sheetPr>
  <dimension ref="A1:Y322"/>
  <sheetViews>
    <sheetView showGridLines="0" zoomScale="70" zoomScaleNormal="70" workbookViewId="0">
      <selection activeCell="B18" sqref="B18"/>
    </sheetView>
  </sheetViews>
  <sheetFormatPr defaultColWidth="9" defaultRowHeight="30" customHeight="1"/>
  <cols>
    <col min="1" max="1" width="1.5" style="1" customWidth="1"/>
    <col min="2" max="2" width="3" style="62" customWidth="1"/>
    <col min="3" max="3" width="8.58203125" style="1" customWidth="1"/>
    <col min="4" max="4" width="7.08203125" style="1" customWidth="1"/>
    <col min="5" max="5" width="11.75" style="1" customWidth="1"/>
    <col min="6" max="6" width="8" style="1" customWidth="1"/>
    <col min="7" max="7" width="14.08203125" style="1" customWidth="1"/>
    <col min="8" max="9" width="11.33203125" style="1" customWidth="1"/>
    <col min="10" max="13" width="11" style="1" customWidth="1"/>
    <col min="14" max="14" width="14.08203125" style="1" customWidth="1"/>
    <col min="15" max="15" width="1.5" style="1" customWidth="1"/>
    <col min="16" max="16" width="9" style="1" customWidth="1"/>
    <col min="17" max="16384" width="9" style="1"/>
  </cols>
  <sheetData>
    <row r="1" spans="2:14" ht="15" customHeight="1"/>
    <row r="2" spans="2:14" ht="25.5" customHeight="1">
      <c r="B2" s="130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 t="s">
        <v>43</v>
      </c>
    </row>
    <row r="3" spans="2:14" ht="19.5" customHeight="1">
      <c r="B3" s="1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2:14" s="4" customFormat="1" ht="30" customHeight="1">
      <c r="B4" s="164" t="s">
        <v>468</v>
      </c>
      <c r="C4" s="164"/>
      <c r="D4" s="221" t="s">
        <v>36</v>
      </c>
      <c r="E4" s="221"/>
      <c r="F4" s="221"/>
      <c r="G4" s="221"/>
      <c r="H4" s="221"/>
      <c r="I4" s="118"/>
      <c r="J4" s="38"/>
      <c r="K4" s="38"/>
      <c r="L4" s="39"/>
      <c r="M4" s="39"/>
      <c r="N4" s="39"/>
    </row>
    <row r="5" spans="2:14" s="4" customFormat="1" ht="30" customHeight="1">
      <c r="B5" s="164"/>
      <c r="C5" s="164"/>
      <c r="D5" s="221"/>
      <c r="E5" s="221"/>
      <c r="F5" s="221"/>
      <c r="G5" s="221"/>
      <c r="H5" s="221"/>
      <c r="I5" s="118"/>
      <c r="J5" s="38"/>
      <c r="K5" s="38"/>
      <c r="L5" s="40"/>
      <c r="M5" s="40"/>
      <c r="N5" s="40"/>
    </row>
    <row r="6" spans="2:14" s="4" customFormat="1" ht="30" customHeight="1">
      <c r="B6" s="166" t="s">
        <v>497</v>
      </c>
      <c r="C6" s="166"/>
      <c r="D6" s="221"/>
      <c r="E6" s="221"/>
      <c r="F6" s="221"/>
      <c r="G6" s="221"/>
      <c r="H6" s="221"/>
      <c r="I6" s="118"/>
      <c r="J6" s="38"/>
      <c r="K6" s="38"/>
      <c r="L6" s="41"/>
      <c r="M6" s="42"/>
      <c r="N6" s="41"/>
    </row>
    <row r="7" spans="2:14" s="4" customFormat="1" ht="30" customHeight="1">
      <c r="B7" s="166"/>
      <c r="C7" s="166"/>
      <c r="D7" s="221"/>
      <c r="E7" s="221"/>
      <c r="F7" s="221"/>
      <c r="G7" s="221"/>
      <c r="H7" s="221"/>
      <c r="I7" s="118"/>
      <c r="J7" s="38"/>
      <c r="K7" s="38"/>
      <c r="L7" s="41"/>
      <c r="M7" s="42"/>
      <c r="N7" s="41"/>
    </row>
    <row r="8" spans="2:14" s="4" customFormat="1" ht="30" customHeight="1">
      <c r="B8" s="132" t="s">
        <v>14</v>
      </c>
      <c r="C8" s="44"/>
      <c r="D8" s="44"/>
      <c r="E8" s="41"/>
      <c r="F8" s="42"/>
      <c r="G8" s="42"/>
      <c r="H8" s="45"/>
      <c r="I8" s="45"/>
      <c r="J8" s="45"/>
      <c r="K8" s="45"/>
      <c r="L8" s="45"/>
      <c r="M8" s="46"/>
      <c r="N8" s="47"/>
    </row>
    <row r="9" spans="2:14" s="14" customFormat="1" ht="30" customHeight="1">
      <c r="B9" s="222" t="s">
        <v>9</v>
      </c>
      <c r="C9" s="223"/>
      <c r="D9" s="224"/>
      <c r="E9" s="222" t="str">
        <f>'지출(개인)'!C10</f>
        <v>사업D본부</v>
      </c>
      <c r="F9" s="223"/>
      <c r="G9" s="223"/>
      <c r="H9" s="225" t="s">
        <v>12</v>
      </c>
      <c r="I9" s="226"/>
      <c r="J9" s="226"/>
      <c r="K9" s="227"/>
      <c r="L9" s="204">
        <f>B14+E14</f>
        <v>0</v>
      </c>
      <c r="M9" s="205"/>
      <c r="N9" s="206"/>
    </row>
    <row r="10" spans="2:14" s="14" customFormat="1" ht="30" customHeight="1">
      <c r="B10" s="213" t="s">
        <v>226</v>
      </c>
      <c r="C10" s="214"/>
      <c r="D10" s="215"/>
      <c r="E10" s="213" t="str">
        <f>'지출(개인)'!C11</f>
        <v>P5</v>
      </c>
      <c r="F10" s="214"/>
      <c r="G10" s="214"/>
      <c r="H10" s="231"/>
      <c r="I10" s="232"/>
      <c r="J10" s="232"/>
      <c r="K10" s="233"/>
      <c r="L10" s="210"/>
      <c r="M10" s="211"/>
      <c r="N10" s="212"/>
    </row>
    <row r="11" spans="2:14" s="14" customFormat="1" ht="30" customHeight="1">
      <c r="B11" s="216" t="s">
        <v>13</v>
      </c>
      <c r="C11" s="217"/>
      <c r="D11" s="217"/>
      <c r="E11" s="216" t="str">
        <f>'지출(개인)'!C12</f>
        <v>박규남</v>
      </c>
      <c r="F11" s="217"/>
      <c r="G11" s="217"/>
      <c r="H11" s="268" t="s">
        <v>37</v>
      </c>
      <c r="I11" s="269"/>
      <c r="J11" s="269"/>
      <c r="K11" s="270"/>
      <c r="L11" s="271">
        <v>1</v>
      </c>
      <c r="M11" s="272"/>
      <c r="N11" s="273"/>
    </row>
    <row r="12" spans="2:14" ht="30" customHeight="1">
      <c r="B12" s="133" t="s">
        <v>5</v>
      </c>
      <c r="C12" s="49"/>
      <c r="D12" s="49"/>
      <c r="E12" s="49"/>
      <c r="F12" s="49"/>
      <c r="G12" s="50"/>
      <c r="H12" s="50"/>
      <c r="I12" s="50"/>
      <c r="J12" s="50"/>
      <c r="K12" s="50"/>
      <c r="L12" s="50"/>
      <c r="M12" s="51"/>
      <c r="N12" s="50"/>
    </row>
    <row r="13" spans="2:14" ht="30" customHeight="1">
      <c r="B13" s="234" t="s">
        <v>19</v>
      </c>
      <c r="C13" s="234"/>
      <c r="D13" s="234"/>
      <c r="E13" s="234" t="s">
        <v>20</v>
      </c>
      <c r="F13" s="234"/>
      <c r="G13" s="52"/>
      <c r="H13" s="31"/>
      <c r="I13" s="31"/>
      <c r="J13" s="50"/>
      <c r="K13" s="50"/>
      <c r="L13" s="50"/>
      <c r="M13" s="50"/>
      <c r="N13" s="50"/>
    </row>
    <row r="14" spans="2:14" ht="30" customHeight="1">
      <c r="B14" s="235">
        <f>SUM(H41:J41,L41:M41,'여비교통(법인)-1'!H43:J43,'여비교통(법인)-1'!L43:M43)</f>
        <v>0</v>
      </c>
      <c r="C14" s="236"/>
      <c r="D14" s="237"/>
      <c r="E14" s="235">
        <f>SUM(K41,'여비교통(법인)-1'!K43)</f>
        <v>0</v>
      </c>
      <c r="F14" s="236"/>
      <c r="G14" s="266"/>
      <c r="H14" s="267"/>
      <c r="I14" s="267"/>
      <c r="J14" s="267"/>
      <c r="K14" s="267"/>
      <c r="L14" s="267"/>
      <c r="M14" s="267"/>
      <c r="N14" s="267"/>
    </row>
    <row r="15" spans="2:14" ht="30" customHeight="1">
      <c r="B15" s="134" t="s">
        <v>11</v>
      </c>
      <c r="C15" s="53"/>
      <c r="D15" s="53"/>
      <c r="E15" s="21"/>
      <c r="F15" s="22"/>
      <c r="G15" s="22"/>
      <c r="H15" s="203" t="s">
        <v>61</v>
      </c>
      <c r="I15" s="203"/>
      <c r="J15" s="203"/>
      <c r="K15" s="203"/>
      <c r="L15" s="203"/>
      <c r="M15" s="203"/>
      <c r="N15" s="203"/>
    </row>
    <row r="16" spans="2:14" s="4" customFormat="1" ht="23.25" customHeight="1">
      <c r="B16" s="239" t="s">
        <v>334</v>
      </c>
      <c r="C16" s="241" t="s">
        <v>26</v>
      </c>
      <c r="D16" s="242"/>
      <c r="E16" s="243" t="s">
        <v>23</v>
      </c>
      <c r="F16" s="197" t="s">
        <v>24</v>
      </c>
      <c r="G16" s="198"/>
      <c r="H16" s="159" t="s">
        <v>73</v>
      </c>
      <c r="I16" s="160"/>
      <c r="J16" s="159" t="s">
        <v>29</v>
      </c>
      <c r="K16" s="160"/>
      <c r="L16" s="159" t="s">
        <v>18</v>
      </c>
      <c r="M16" s="161"/>
      <c r="N16" s="201" t="s">
        <v>15</v>
      </c>
    </row>
    <row r="17" spans="2:17" s="4" customFormat="1" ht="23.25" customHeight="1">
      <c r="B17" s="240"/>
      <c r="C17" s="98" t="s">
        <v>21</v>
      </c>
      <c r="D17" s="98" t="s">
        <v>22</v>
      </c>
      <c r="E17" s="244"/>
      <c r="F17" s="199"/>
      <c r="G17" s="200"/>
      <c r="H17" s="95" t="s">
        <v>71</v>
      </c>
      <c r="I17" s="95" t="s">
        <v>74</v>
      </c>
      <c r="J17" s="95" t="s">
        <v>27</v>
      </c>
      <c r="K17" s="95" t="s">
        <v>28</v>
      </c>
      <c r="L17" s="95" t="s">
        <v>16</v>
      </c>
      <c r="M17" s="95" t="s">
        <v>17</v>
      </c>
      <c r="N17" s="202"/>
      <c r="Q17" s="14" t="s">
        <v>31</v>
      </c>
    </row>
    <row r="18" spans="2:17" ht="22.5" customHeight="1">
      <c r="B18" s="88"/>
      <c r="C18" s="88"/>
      <c r="D18" s="88"/>
      <c r="E18" s="88"/>
      <c r="F18" s="191"/>
      <c r="G18" s="193"/>
      <c r="H18" s="96"/>
      <c r="I18" s="96"/>
      <c r="J18" s="81"/>
      <c r="K18" s="81"/>
      <c r="L18" s="81"/>
      <c r="M18" s="81"/>
      <c r="N18" s="97"/>
    </row>
    <row r="19" spans="2:17" ht="22.5" customHeight="1">
      <c r="B19" s="88"/>
      <c r="C19" s="88"/>
      <c r="D19" s="88"/>
      <c r="E19" s="88"/>
      <c r="F19" s="191"/>
      <c r="G19" s="193"/>
      <c r="H19" s="96"/>
      <c r="I19" s="96"/>
      <c r="J19" s="81"/>
      <c r="K19" s="81"/>
      <c r="L19" s="81"/>
      <c r="M19" s="81"/>
      <c r="N19" s="97"/>
    </row>
    <row r="20" spans="2:17" ht="22.5" customHeight="1">
      <c r="B20" s="86"/>
      <c r="C20" s="86"/>
      <c r="D20" s="86"/>
      <c r="E20" s="86"/>
      <c r="F20" s="148"/>
      <c r="G20" s="150"/>
      <c r="H20" s="34"/>
      <c r="I20" s="34"/>
      <c r="J20" s="35"/>
      <c r="K20" s="35"/>
      <c r="L20" s="35"/>
      <c r="M20" s="35"/>
      <c r="N20" s="90"/>
    </row>
    <row r="21" spans="2:17" ht="22.5" customHeight="1">
      <c r="B21" s="86"/>
      <c r="C21" s="86"/>
      <c r="D21" s="86"/>
      <c r="E21" s="86"/>
      <c r="F21" s="148"/>
      <c r="G21" s="150"/>
      <c r="H21" s="34"/>
      <c r="I21" s="34"/>
      <c r="J21" s="35"/>
      <c r="K21" s="35"/>
      <c r="L21" s="35"/>
      <c r="M21" s="35"/>
      <c r="N21" s="90"/>
    </row>
    <row r="22" spans="2:17" ht="22.5" customHeight="1">
      <c r="B22" s="86"/>
      <c r="C22" s="86"/>
      <c r="D22" s="86"/>
      <c r="E22" s="86"/>
      <c r="F22" s="148"/>
      <c r="G22" s="150"/>
      <c r="H22" s="34"/>
      <c r="I22" s="34"/>
      <c r="J22" s="35"/>
      <c r="K22" s="35"/>
      <c r="L22" s="35"/>
      <c r="M22" s="35"/>
      <c r="N22" s="90"/>
    </row>
    <row r="23" spans="2:17" ht="22.5" customHeight="1">
      <c r="B23" s="86"/>
      <c r="C23" s="86"/>
      <c r="D23" s="86"/>
      <c r="E23" s="86"/>
      <c r="F23" s="148"/>
      <c r="G23" s="150"/>
      <c r="H23" s="34"/>
      <c r="I23" s="34"/>
      <c r="J23" s="35"/>
      <c r="K23" s="35"/>
      <c r="L23" s="35"/>
      <c r="M23" s="35"/>
      <c r="N23" s="90"/>
    </row>
    <row r="24" spans="2:17" ht="22.5" customHeight="1">
      <c r="B24" s="86"/>
      <c r="C24" s="86"/>
      <c r="D24" s="86"/>
      <c r="E24" s="86"/>
      <c r="F24" s="148"/>
      <c r="G24" s="150"/>
      <c r="H24" s="34"/>
      <c r="I24" s="34"/>
      <c r="J24" s="35"/>
      <c r="K24" s="35"/>
      <c r="L24" s="35"/>
      <c r="M24" s="35"/>
      <c r="N24" s="90"/>
    </row>
    <row r="25" spans="2:17" ht="22.5" customHeight="1">
      <c r="B25" s="86"/>
      <c r="C25" s="86"/>
      <c r="D25" s="86"/>
      <c r="E25" s="86"/>
      <c r="F25" s="148"/>
      <c r="G25" s="150"/>
      <c r="H25" s="34"/>
      <c r="I25" s="34"/>
      <c r="J25" s="35"/>
      <c r="K25" s="35"/>
      <c r="L25" s="35"/>
      <c r="M25" s="35"/>
      <c r="N25" s="90"/>
    </row>
    <row r="26" spans="2:17" ht="22.5" customHeight="1">
      <c r="B26" s="86"/>
      <c r="C26" s="86"/>
      <c r="D26" s="86"/>
      <c r="E26" s="86"/>
      <c r="F26" s="148"/>
      <c r="G26" s="150"/>
      <c r="H26" s="34"/>
      <c r="I26" s="34"/>
      <c r="J26" s="35"/>
      <c r="K26" s="35"/>
      <c r="L26" s="35"/>
      <c r="M26" s="35"/>
      <c r="N26" s="90"/>
    </row>
    <row r="27" spans="2:17" ht="22.5" customHeight="1">
      <c r="B27" s="86"/>
      <c r="C27" s="86"/>
      <c r="D27" s="86"/>
      <c r="E27" s="86"/>
      <c r="F27" s="148"/>
      <c r="G27" s="150"/>
      <c r="H27" s="34"/>
      <c r="I27" s="34"/>
      <c r="J27" s="35"/>
      <c r="K27" s="35"/>
      <c r="L27" s="35"/>
      <c r="M27" s="35"/>
      <c r="N27" s="90"/>
    </row>
    <row r="28" spans="2:17" ht="22.5" customHeight="1">
      <c r="B28" s="86"/>
      <c r="C28" s="86"/>
      <c r="D28" s="86"/>
      <c r="E28" s="86"/>
      <c r="F28" s="148"/>
      <c r="G28" s="150"/>
      <c r="H28" s="34"/>
      <c r="I28" s="34"/>
      <c r="J28" s="35"/>
      <c r="K28" s="35"/>
      <c r="L28" s="35"/>
      <c r="M28" s="35"/>
      <c r="N28" s="90"/>
    </row>
    <row r="29" spans="2:17" ht="22.5" customHeight="1">
      <c r="B29" s="86"/>
      <c r="C29" s="86"/>
      <c r="D29" s="86"/>
      <c r="E29" s="86"/>
      <c r="F29" s="148"/>
      <c r="G29" s="150"/>
      <c r="H29" s="34"/>
      <c r="I29" s="34"/>
      <c r="J29" s="35"/>
      <c r="K29" s="35"/>
      <c r="L29" s="35"/>
      <c r="M29" s="35"/>
      <c r="N29" s="90"/>
    </row>
    <row r="30" spans="2:17" ht="22.5" customHeight="1">
      <c r="B30" s="86"/>
      <c r="C30" s="86"/>
      <c r="D30" s="86"/>
      <c r="E30" s="86"/>
      <c r="F30" s="148"/>
      <c r="G30" s="150"/>
      <c r="H30" s="34"/>
      <c r="I30" s="34"/>
      <c r="J30" s="35"/>
      <c r="K30" s="35"/>
      <c r="L30" s="35"/>
      <c r="M30" s="35"/>
      <c r="N30" s="90"/>
    </row>
    <row r="31" spans="2:17" ht="22.5" customHeight="1">
      <c r="B31" s="86"/>
      <c r="C31" s="86"/>
      <c r="D31" s="86"/>
      <c r="E31" s="86"/>
      <c r="F31" s="148"/>
      <c r="G31" s="150"/>
      <c r="H31" s="34"/>
      <c r="I31" s="34"/>
      <c r="J31" s="35"/>
      <c r="K31" s="35"/>
      <c r="L31" s="35"/>
      <c r="M31" s="35"/>
      <c r="N31" s="90"/>
    </row>
    <row r="32" spans="2:17" ht="22.5" customHeight="1">
      <c r="B32" s="86"/>
      <c r="C32" s="86"/>
      <c r="D32" s="86"/>
      <c r="E32" s="86"/>
      <c r="F32" s="148"/>
      <c r="G32" s="150"/>
      <c r="H32" s="34"/>
      <c r="I32" s="34"/>
      <c r="J32" s="35"/>
      <c r="K32" s="35"/>
      <c r="L32" s="35"/>
      <c r="M32" s="35"/>
      <c r="N32" s="90"/>
    </row>
    <row r="33" spans="1:15" ht="22.5" customHeight="1">
      <c r="B33" s="86"/>
      <c r="C33" s="86"/>
      <c r="D33" s="86"/>
      <c r="E33" s="86"/>
      <c r="F33" s="148"/>
      <c r="G33" s="150"/>
      <c r="H33" s="34"/>
      <c r="I33" s="34"/>
      <c r="J33" s="35"/>
      <c r="K33" s="35"/>
      <c r="L33" s="35"/>
      <c r="M33" s="35"/>
      <c r="N33" s="90"/>
    </row>
    <row r="34" spans="1:15" ht="22.5" customHeight="1">
      <c r="B34" s="86"/>
      <c r="C34" s="86"/>
      <c r="D34" s="86"/>
      <c r="E34" s="86"/>
      <c r="F34" s="148"/>
      <c r="G34" s="150"/>
      <c r="H34" s="34"/>
      <c r="I34" s="34"/>
      <c r="J34" s="35"/>
      <c r="K34" s="35"/>
      <c r="L34" s="35"/>
      <c r="M34" s="35"/>
      <c r="N34" s="90"/>
    </row>
    <row r="35" spans="1:15" ht="22.5" customHeight="1">
      <c r="B35" s="86"/>
      <c r="C35" s="86"/>
      <c r="D35" s="86"/>
      <c r="E35" s="86"/>
      <c r="F35" s="148"/>
      <c r="G35" s="150"/>
      <c r="H35" s="34"/>
      <c r="I35" s="34"/>
      <c r="J35" s="35"/>
      <c r="K35" s="35"/>
      <c r="L35" s="35"/>
      <c r="M35" s="35"/>
      <c r="N35" s="90"/>
    </row>
    <row r="36" spans="1:15" s="26" customFormat="1" ht="22.5" customHeight="1">
      <c r="A36" s="27"/>
      <c r="B36" s="86"/>
      <c r="C36" s="86"/>
      <c r="D36" s="86"/>
      <c r="E36" s="86"/>
      <c r="F36" s="148"/>
      <c r="G36" s="150"/>
      <c r="H36" s="34"/>
      <c r="I36" s="34"/>
      <c r="J36" s="35"/>
      <c r="K36" s="35"/>
      <c r="L36" s="35"/>
      <c r="M36" s="35"/>
      <c r="N36" s="90"/>
      <c r="O36" s="27"/>
    </row>
    <row r="37" spans="1:15" s="26" customFormat="1" ht="22.5" customHeight="1">
      <c r="B37" s="86"/>
      <c r="C37" s="86"/>
      <c r="D37" s="86"/>
      <c r="E37" s="86"/>
      <c r="F37" s="148"/>
      <c r="G37" s="150"/>
      <c r="H37" s="34"/>
      <c r="I37" s="34"/>
      <c r="J37" s="35"/>
      <c r="K37" s="35"/>
      <c r="L37" s="35"/>
      <c r="M37" s="35"/>
      <c r="N37" s="90"/>
    </row>
    <row r="38" spans="1:15" s="26" customFormat="1" ht="22.5" customHeight="1">
      <c r="B38" s="86"/>
      <c r="C38" s="86"/>
      <c r="D38" s="86"/>
      <c r="E38" s="86"/>
      <c r="F38" s="148"/>
      <c r="G38" s="150"/>
      <c r="H38" s="34"/>
      <c r="I38" s="34"/>
      <c r="J38" s="35"/>
      <c r="K38" s="35"/>
      <c r="L38" s="35"/>
      <c r="M38" s="35"/>
      <c r="N38" s="90"/>
    </row>
    <row r="39" spans="1:15" s="26" customFormat="1" ht="22.5" customHeight="1">
      <c r="B39" s="86"/>
      <c r="C39" s="86"/>
      <c r="D39" s="86"/>
      <c r="E39" s="86"/>
      <c r="F39" s="148"/>
      <c r="G39" s="150"/>
      <c r="H39" s="34"/>
      <c r="I39" s="34"/>
      <c r="J39" s="35"/>
      <c r="K39" s="35"/>
      <c r="L39" s="35"/>
      <c r="M39" s="35"/>
      <c r="N39" s="90"/>
    </row>
    <row r="40" spans="1:15" ht="22.5" customHeight="1">
      <c r="B40" s="89"/>
      <c r="C40" s="89"/>
      <c r="D40" s="89"/>
      <c r="E40" s="89"/>
      <c r="F40" s="185"/>
      <c r="G40" s="187"/>
      <c r="H40" s="36"/>
      <c r="I40" s="36"/>
      <c r="J40" s="37"/>
      <c r="K40" s="37"/>
      <c r="L40" s="37"/>
      <c r="M40" s="37"/>
      <c r="N40" s="91"/>
    </row>
    <row r="41" spans="1:15" ht="23.25" customHeight="1">
      <c r="B41" s="194" t="s">
        <v>30</v>
      </c>
      <c r="C41" s="195"/>
      <c r="D41" s="195"/>
      <c r="E41" s="104">
        <v>1859</v>
      </c>
      <c r="F41" s="196"/>
      <c r="G41" s="196"/>
      <c r="H41" s="82">
        <f>H42/8*E41</f>
        <v>0</v>
      </c>
      <c r="I41" s="82">
        <f>I42/4*293</f>
        <v>0</v>
      </c>
      <c r="J41" s="82">
        <f>SUM(J18:J40)</f>
        <v>0</v>
      </c>
      <c r="K41" s="82">
        <f>SUM(K18:K40)</f>
        <v>0</v>
      </c>
      <c r="L41" s="82">
        <f>SUM(L18:L40)</f>
        <v>0</v>
      </c>
      <c r="M41" s="82">
        <f>SUM(M18:M40)</f>
        <v>0</v>
      </c>
      <c r="N41" s="83"/>
    </row>
    <row r="42" spans="1:15" ht="12" customHeight="1">
      <c r="B42" s="135"/>
      <c r="C42" s="51"/>
      <c r="D42" s="51"/>
      <c r="E42" s="55"/>
      <c r="F42" s="22"/>
      <c r="G42" s="22"/>
      <c r="H42" s="56">
        <f>SUM(H18:H40)</f>
        <v>0</v>
      </c>
      <c r="I42" s="56">
        <f>SUM(I18:I40)</f>
        <v>0</v>
      </c>
      <c r="J42" s="54"/>
      <c r="K42" s="54"/>
      <c r="L42" s="54"/>
      <c r="M42" s="54"/>
      <c r="N42" s="24"/>
    </row>
    <row r="43" spans="1:15" ht="6.75" customHeight="1">
      <c r="B43" s="136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</row>
    <row r="44" spans="1:15" ht="25.5" customHeight="1">
      <c r="A44" s="100"/>
      <c r="B44" s="190" t="s">
        <v>57</v>
      </c>
      <c r="C44" s="190"/>
      <c r="D44" s="190"/>
      <c r="E44" s="190"/>
      <c r="F44" s="190"/>
      <c r="G44" s="103"/>
      <c r="H44" s="101"/>
      <c r="I44" s="101"/>
      <c r="J44" s="101"/>
      <c r="K44" s="101"/>
      <c r="L44" s="103"/>
      <c r="M44" s="31"/>
      <c r="N44" s="33" t="s">
        <v>0</v>
      </c>
    </row>
    <row r="45" spans="1:15" s="100" customFormat="1" ht="18.5" customHeight="1"/>
    <row r="46" spans="1:15" s="100" customFormat="1" ht="17.5">
      <c r="B46" s="127"/>
      <c r="C46" s="127"/>
      <c r="D46" s="128"/>
      <c r="E46" s="129"/>
      <c r="F46" s="101"/>
      <c r="G46" s="129"/>
      <c r="H46" s="129"/>
      <c r="I46" s="101"/>
    </row>
    <row r="47" spans="1:15" s="142" customFormat="1" ht="17.5">
      <c r="B47" s="140" t="s">
        <v>211</v>
      </c>
      <c r="C47" s="141"/>
      <c r="D47" s="141"/>
      <c r="E47" s="143"/>
      <c r="F47" s="144"/>
      <c r="G47" s="143"/>
      <c r="H47" s="143"/>
      <c r="I47" s="144"/>
    </row>
    <row r="48" spans="1:15" s="142" customFormat="1" ht="15" customHeight="1">
      <c r="B48" s="140" t="s">
        <v>268</v>
      </c>
      <c r="C48" s="141"/>
      <c r="D48" s="141"/>
      <c r="F48" s="145"/>
      <c r="G48" s="145"/>
      <c r="H48" s="145"/>
    </row>
    <row r="49" spans="2:8" s="142" customFormat="1" ht="15" customHeight="1">
      <c r="B49" s="140" t="s">
        <v>464</v>
      </c>
      <c r="C49" s="141"/>
      <c r="D49" s="141"/>
      <c r="H49" s="145"/>
    </row>
    <row r="50" spans="2:8" s="142" customFormat="1" ht="15" customHeight="1">
      <c r="B50" s="140" t="s">
        <v>333</v>
      </c>
      <c r="C50" s="141"/>
      <c r="D50" s="141"/>
      <c r="H50" s="145"/>
    </row>
    <row r="51" spans="2:8" s="142" customFormat="1" ht="15" customHeight="1">
      <c r="B51" s="140" t="s">
        <v>242</v>
      </c>
      <c r="C51" s="141"/>
      <c r="D51" s="141"/>
    </row>
    <row r="52" spans="2:8" s="142" customFormat="1" ht="15" customHeight="1">
      <c r="B52" s="140" t="s">
        <v>381</v>
      </c>
      <c r="C52" s="141"/>
      <c r="D52" s="141"/>
    </row>
    <row r="53" spans="2:8" s="142" customFormat="1" ht="15" customHeight="1">
      <c r="B53" s="140" t="s">
        <v>382</v>
      </c>
      <c r="C53" s="141"/>
      <c r="D53" s="141"/>
    </row>
    <row r="54" spans="2:8" s="142" customFormat="1" ht="15" customHeight="1">
      <c r="B54" s="140" t="s">
        <v>335</v>
      </c>
    </row>
    <row r="55" spans="2:8" s="142" customFormat="1" ht="15" customHeight="1">
      <c r="B55" s="140" t="s">
        <v>383</v>
      </c>
      <c r="C55" s="141"/>
      <c r="D55" s="141"/>
    </row>
    <row r="56" spans="2:8" s="142" customFormat="1" ht="15" customHeight="1">
      <c r="B56" s="140" t="s">
        <v>384</v>
      </c>
      <c r="C56" s="141"/>
      <c r="D56" s="141"/>
    </row>
    <row r="57" spans="2:8" s="142" customFormat="1" ht="15" customHeight="1">
      <c r="B57" s="140" t="s">
        <v>349</v>
      </c>
      <c r="C57" s="141"/>
      <c r="D57" s="141"/>
    </row>
    <row r="58" spans="2:8" s="142" customFormat="1" ht="15" customHeight="1">
      <c r="B58" s="140" t="s">
        <v>504</v>
      </c>
      <c r="C58" s="141"/>
      <c r="D58" s="141"/>
    </row>
    <row r="59" spans="2:8" s="142" customFormat="1" ht="15" customHeight="1">
      <c r="B59" s="140" t="s">
        <v>307</v>
      </c>
      <c r="C59" s="141"/>
      <c r="D59" s="141"/>
    </row>
    <row r="60" spans="2:8" s="142" customFormat="1" ht="15" customHeight="1">
      <c r="B60" s="140" t="s">
        <v>330</v>
      </c>
      <c r="C60" s="141"/>
      <c r="D60" s="141"/>
    </row>
    <row r="61" spans="2:8" s="142" customFormat="1" ht="15" customHeight="1">
      <c r="B61" s="140" t="s">
        <v>385</v>
      </c>
      <c r="C61" s="141"/>
      <c r="D61" s="141"/>
    </row>
    <row r="62" spans="2:8" s="142" customFormat="1" ht="15" customHeight="1">
      <c r="B62" s="140" t="s">
        <v>470</v>
      </c>
      <c r="C62" s="141"/>
      <c r="D62" s="141"/>
    </row>
    <row r="63" spans="2:8" s="142" customFormat="1" ht="15" customHeight="1">
      <c r="B63" s="140" t="s">
        <v>341</v>
      </c>
      <c r="C63" s="141"/>
      <c r="D63" s="141"/>
    </row>
    <row r="64" spans="2:8" s="142" customFormat="1" ht="15" customHeight="1">
      <c r="B64" s="140" t="s">
        <v>386</v>
      </c>
      <c r="C64" s="141"/>
      <c r="D64" s="141"/>
    </row>
    <row r="65" spans="2:4" s="142" customFormat="1" ht="15" customHeight="1">
      <c r="B65" s="140" t="s">
        <v>325</v>
      </c>
      <c r="C65" s="141"/>
      <c r="D65" s="141"/>
    </row>
    <row r="66" spans="2:4" s="142" customFormat="1" ht="15" customHeight="1">
      <c r="B66" s="140" t="s">
        <v>82</v>
      </c>
      <c r="C66" s="141"/>
      <c r="D66" s="141"/>
    </row>
    <row r="67" spans="2:4" s="142" customFormat="1" ht="15" customHeight="1">
      <c r="B67" s="140" t="s">
        <v>235</v>
      </c>
      <c r="C67" s="141"/>
      <c r="D67" s="146"/>
    </row>
    <row r="68" spans="2:4" s="142" customFormat="1" ht="15" customHeight="1">
      <c r="B68" s="140" t="s">
        <v>83</v>
      </c>
      <c r="C68" s="141"/>
      <c r="D68" s="141"/>
    </row>
    <row r="69" spans="2:4" s="142" customFormat="1" ht="15" customHeight="1">
      <c r="B69" s="140" t="s">
        <v>212</v>
      </c>
      <c r="C69" s="141"/>
      <c r="D69" s="141"/>
    </row>
    <row r="70" spans="2:4" s="142" customFormat="1" ht="15" customHeight="1">
      <c r="B70" s="140" t="s">
        <v>351</v>
      </c>
      <c r="C70" s="141"/>
      <c r="D70" s="141"/>
    </row>
    <row r="71" spans="2:4" s="142" customFormat="1" ht="15" customHeight="1">
      <c r="B71" s="140" t="s">
        <v>85</v>
      </c>
      <c r="C71" s="141"/>
      <c r="D71" s="141"/>
    </row>
    <row r="72" spans="2:4" s="142" customFormat="1" ht="15" customHeight="1">
      <c r="B72" s="140" t="s">
        <v>387</v>
      </c>
      <c r="C72" s="141"/>
      <c r="D72" s="141"/>
    </row>
    <row r="73" spans="2:4" s="142" customFormat="1" ht="15" customHeight="1">
      <c r="B73" s="140" t="s">
        <v>259</v>
      </c>
      <c r="C73" s="141"/>
      <c r="D73" s="141"/>
    </row>
    <row r="74" spans="2:4" s="142" customFormat="1" ht="15" customHeight="1">
      <c r="B74" s="140" t="s">
        <v>388</v>
      </c>
      <c r="C74" s="141"/>
      <c r="D74" s="141"/>
    </row>
    <row r="75" spans="2:4" s="142" customFormat="1" ht="15" customHeight="1">
      <c r="B75" s="140" t="s">
        <v>389</v>
      </c>
      <c r="C75" s="141"/>
      <c r="D75" s="141"/>
    </row>
    <row r="76" spans="2:4" s="142" customFormat="1" ht="15" customHeight="1">
      <c r="B76" s="140" t="s">
        <v>276</v>
      </c>
    </row>
    <row r="77" spans="2:4" s="142" customFormat="1" ht="15" customHeight="1">
      <c r="B77" s="140" t="s">
        <v>355</v>
      </c>
      <c r="C77" s="141"/>
      <c r="D77" s="141"/>
    </row>
    <row r="78" spans="2:4" s="142" customFormat="1" ht="15" customHeight="1">
      <c r="B78" s="140" t="s">
        <v>390</v>
      </c>
      <c r="C78" s="141"/>
      <c r="D78" s="141"/>
    </row>
    <row r="79" spans="2:4" s="142" customFormat="1" ht="15" customHeight="1">
      <c r="B79" s="140" t="s">
        <v>89</v>
      </c>
      <c r="C79" s="141"/>
      <c r="D79" s="141"/>
    </row>
    <row r="80" spans="2:4" s="142" customFormat="1" ht="15" customHeight="1">
      <c r="B80" s="140" t="s">
        <v>391</v>
      </c>
      <c r="C80" s="141"/>
      <c r="D80" s="141"/>
    </row>
    <row r="81" spans="1:25" s="142" customFormat="1" ht="15" customHeight="1">
      <c r="B81" s="140" t="s">
        <v>353</v>
      </c>
      <c r="C81" s="141"/>
      <c r="D81" s="141"/>
    </row>
    <row r="82" spans="1:25" s="142" customFormat="1" ht="15" customHeight="1">
      <c r="B82" s="140" t="s">
        <v>495</v>
      </c>
      <c r="C82" s="141"/>
      <c r="D82" s="141"/>
    </row>
    <row r="83" spans="1:25" s="142" customFormat="1" ht="15" customHeight="1">
      <c r="B83" s="140" t="s">
        <v>354</v>
      </c>
      <c r="C83" s="141"/>
      <c r="D83" s="141"/>
    </row>
    <row r="84" spans="1:25" s="142" customFormat="1" ht="15" customHeight="1">
      <c r="B84" s="140" t="s">
        <v>292</v>
      </c>
      <c r="C84" s="141"/>
      <c r="D84" s="141"/>
    </row>
    <row r="85" spans="1:25" s="142" customFormat="1" ht="15" customHeight="1">
      <c r="B85" s="140" t="s">
        <v>484</v>
      </c>
      <c r="C85" s="141"/>
      <c r="D85" s="141"/>
      <c r="E85" s="145"/>
    </row>
    <row r="86" spans="1:25" s="142" customFormat="1" ht="15" customHeight="1">
      <c r="A86" s="141"/>
      <c r="B86" s="140" t="s">
        <v>392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</row>
    <row r="87" spans="1:25" s="142" customFormat="1" ht="15" customHeight="1">
      <c r="B87" s="140" t="s">
        <v>327</v>
      </c>
      <c r="C87" s="141"/>
      <c r="D87" s="141"/>
    </row>
    <row r="88" spans="1:25" s="142" customFormat="1" ht="15" customHeight="1">
      <c r="A88" s="141"/>
      <c r="B88" s="140" t="s">
        <v>338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</row>
    <row r="89" spans="1:25" s="142" customFormat="1" ht="15" customHeight="1">
      <c r="A89" s="141"/>
      <c r="B89" s="140" t="s">
        <v>337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</row>
    <row r="90" spans="1:25" s="142" customFormat="1" ht="15" customHeight="1">
      <c r="B90" s="140" t="s">
        <v>393</v>
      </c>
      <c r="C90" s="141"/>
      <c r="D90" s="141"/>
    </row>
    <row r="91" spans="1:25" s="142" customFormat="1" ht="15" customHeight="1">
      <c r="B91" s="140" t="s">
        <v>394</v>
      </c>
      <c r="C91" s="141"/>
      <c r="D91" s="141"/>
    </row>
    <row r="92" spans="1:25" s="142" customFormat="1" ht="15" customHeight="1">
      <c r="B92" s="140" t="s">
        <v>257</v>
      </c>
      <c r="C92" s="141"/>
      <c r="D92" s="141"/>
    </row>
    <row r="93" spans="1:25" s="142" customFormat="1" ht="15" customHeight="1">
      <c r="B93" s="140" t="s">
        <v>319</v>
      </c>
      <c r="C93" s="141"/>
      <c r="D93" s="141"/>
    </row>
    <row r="94" spans="1:25" s="142" customFormat="1" ht="15" customHeight="1">
      <c r="B94" s="140" t="s">
        <v>352</v>
      </c>
      <c r="C94" s="141"/>
      <c r="D94" s="141"/>
    </row>
    <row r="95" spans="1:25" s="142" customFormat="1" ht="15" customHeight="1">
      <c r="B95" s="140" t="s">
        <v>328</v>
      </c>
      <c r="C95" s="141"/>
      <c r="D95" s="141"/>
    </row>
    <row r="96" spans="1:25" s="142" customFormat="1" ht="15" customHeight="1">
      <c r="B96" s="140" t="s">
        <v>310</v>
      </c>
      <c r="C96" s="141"/>
      <c r="D96" s="141"/>
    </row>
    <row r="97" spans="1:25" s="142" customFormat="1" ht="15" customHeight="1">
      <c r="B97" s="140" t="s">
        <v>477</v>
      </c>
      <c r="C97" s="141"/>
      <c r="D97" s="141"/>
    </row>
    <row r="98" spans="1:25" s="142" customFormat="1" ht="15" customHeight="1">
      <c r="B98" s="140" t="s">
        <v>301</v>
      </c>
      <c r="C98" s="141"/>
      <c r="D98" s="141"/>
    </row>
    <row r="99" spans="1:25" s="142" customFormat="1" ht="15" customHeight="1">
      <c r="B99" s="140" t="s">
        <v>494</v>
      </c>
      <c r="C99" s="141"/>
      <c r="D99" s="141"/>
      <c r="H99" s="139"/>
      <c r="I99" s="139"/>
    </row>
    <row r="100" spans="1:25" s="142" customFormat="1" ht="15" customHeight="1">
      <c r="B100" s="140" t="s">
        <v>297</v>
      </c>
      <c r="C100" s="141"/>
      <c r="D100" s="141"/>
      <c r="H100" s="139"/>
      <c r="I100" s="139"/>
    </row>
    <row r="101" spans="1:25" s="142" customFormat="1" ht="15" customHeight="1">
      <c r="B101" s="140" t="s">
        <v>395</v>
      </c>
      <c r="C101" s="141"/>
      <c r="D101" s="141"/>
      <c r="H101" s="139"/>
      <c r="I101" s="139"/>
    </row>
    <row r="102" spans="1:25" s="142" customFormat="1" ht="15" customHeight="1">
      <c r="B102" s="140" t="s">
        <v>289</v>
      </c>
      <c r="C102" s="141"/>
      <c r="D102" s="147"/>
    </row>
    <row r="103" spans="1:25" s="142" customFormat="1" ht="15" customHeight="1">
      <c r="B103" s="140" t="s">
        <v>287</v>
      </c>
      <c r="C103" s="141"/>
      <c r="D103" s="147"/>
    </row>
    <row r="104" spans="1:25" s="142" customFormat="1" ht="15" customHeight="1">
      <c r="A104" s="141"/>
      <c r="B104" s="140" t="s">
        <v>342</v>
      </c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</row>
    <row r="105" spans="1:25" s="142" customFormat="1" ht="15" customHeight="1">
      <c r="B105" s="140" t="s">
        <v>396</v>
      </c>
      <c r="C105" s="141"/>
      <c r="D105" s="141"/>
    </row>
    <row r="106" spans="1:25" s="142" customFormat="1" ht="15" customHeight="1">
      <c r="B106" s="140" t="s">
        <v>356</v>
      </c>
      <c r="C106" s="141"/>
      <c r="D106" s="141"/>
    </row>
    <row r="107" spans="1:25" s="142" customFormat="1" ht="15" customHeight="1">
      <c r="A107" s="141"/>
      <c r="B107" s="140" t="s">
        <v>469</v>
      </c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</row>
    <row r="108" spans="1:25" s="142" customFormat="1" ht="15" customHeight="1">
      <c r="B108" s="140" t="s">
        <v>465</v>
      </c>
      <c r="C108" s="141"/>
      <c r="D108" s="141"/>
    </row>
    <row r="109" spans="1:25" s="142" customFormat="1" ht="15" customHeight="1">
      <c r="A109" s="141"/>
      <c r="B109" s="140" t="s">
        <v>324</v>
      </c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</row>
    <row r="110" spans="1:25" s="142" customFormat="1" ht="15" customHeight="1">
      <c r="A110" s="141"/>
      <c r="B110" s="140" t="s">
        <v>397</v>
      </c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</row>
    <row r="111" spans="1:25" s="142" customFormat="1" ht="15" customHeight="1">
      <c r="B111" s="140" t="s">
        <v>471</v>
      </c>
      <c r="C111" s="141"/>
      <c r="D111" s="141"/>
    </row>
    <row r="112" spans="1:25" s="142" customFormat="1" ht="15" customHeight="1">
      <c r="B112" s="140" t="s">
        <v>398</v>
      </c>
      <c r="C112" s="141"/>
      <c r="D112" s="141"/>
    </row>
    <row r="113" spans="2:4" s="142" customFormat="1" ht="15" customHeight="1">
      <c r="B113" s="140" t="s">
        <v>399</v>
      </c>
      <c r="C113" s="141"/>
      <c r="D113" s="141"/>
    </row>
    <row r="114" spans="2:4" s="142" customFormat="1" ht="15" customHeight="1">
      <c r="B114" s="140" t="s">
        <v>347</v>
      </c>
      <c r="C114" s="141"/>
      <c r="D114" s="141"/>
    </row>
    <row r="115" spans="2:4" s="142" customFormat="1" ht="15" customHeight="1">
      <c r="B115" s="140" t="s">
        <v>400</v>
      </c>
      <c r="C115" s="141"/>
      <c r="D115" s="141"/>
    </row>
    <row r="116" spans="2:4" s="142" customFormat="1" ht="15" customHeight="1">
      <c r="B116" s="140" t="s">
        <v>210</v>
      </c>
      <c r="C116" s="141"/>
      <c r="D116" s="141"/>
    </row>
    <row r="117" spans="2:4" s="142" customFormat="1" ht="15" customHeight="1">
      <c r="B117" s="140" t="s">
        <v>478</v>
      </c>
      <c r="C117" s="141"/>
      <c r="D117" s="141"/>
    </row>
    <row r="118" spans="2:4" s="142" customFormat="1" ht="15" customHeight="1">
      <c r="B118" s="140" t="s">
        <v>348</v>
      </c>
      <c r="C118" s="141"/>
      <c r="D118" s="141"/>
    </row>
    <row r="119" spans="2:4" s="142" customFormat="1" ht="15" customHeight="1">
      <c r="B119" s="140" t="s">
        <v>401</v>
      </c>
      <c r="C119" s="141"/>
      <c r="D119" s="141"/>
    </row>
    <row r="120" spans="2:4" s="142" customFormat="1" ht="15" customHeight="1">
      <c r="B120" s="140" t="s">
        <v>402</v>
      </c>
      <c r="C120" s="141"/>
      <c r="D120" s="141"/>
    </row>
    <row r="121" spans="2:4" s="142" customFormat="1" ht="15" customHeight="1">
      <c r="B121" s="140" t="s">
        <v>403</v>
      </c>
      <c r="C121" s="141"/>
      <c r="D121" s="141"/>
    </row>
    <row r="122" spans="2:4" s="142" customFormat="1" ht="15" customHeight="1">
      <c r="B122" s="140" t="s">
        <v>106</v>
      </c>
      <c r="C122" s="141"/>
      <c r="D122" s="141"/>
    </row>
    <row r="123" spans="2:4" s="142" customFormat="1" ht="15" customHeight="1">
      <c r="B123" s="140" t="s">
        <v>298</v>
      </c>
      <c r="C123" s="141"/>
      <c r="D123" s="141"/>
    </row>
    <row r="124" spans="2:4" s="142" customFormat="1" ht="15" customHeight="1">
      <c r="B124" s="140" t="s">
        <v>487</v>
      </c>
      <c r="C124" s="141"/>
      <c r="D124" s="141"/>
    </row>
    <row r="125" spans="2:4" s="142" customFormat="1" ht="15" customHeight="1">
      <c r="B125" s="140" t="s">
        <v>485</v>
      </c>
      <c r="C125" s="141"/>
      <c r="D125" s="141"/>
    </row>
    <row r="126" spans="2:4" s="142" customFormat="1" ht="15" customHeight="1">
      <c r="B126" s="140" t="s">
        <v>404</v>
      </c>
      <c r="C126" s="141"/>
      <c r="D126" s="141"/>
    </row>
    <row r="127" spans="2:4" s="142" customFormat="1" ht="15" customHeight="1">
      <c r="B127" s="140" t="s">
        <v>506</v>
      </c>
      <c r="C127" s="141"/>
      <c r="D127" s="141"/>
    </row>
    <row r="128" spans="2:4" s="142" customFormat="1" ht="15" customHeight="1">
      <c r="B128" s="140" t="s">
        <v>296</v>
      </c>
      <c r="C128" s="141"/>
      <c r="D128" s="141"/>
    </row>
    <row r="129" spans="2:4" s="142" customFormat="1" ht="15" customHeight="1">
      <c r="B129" s="140" t="s">
        <v>505</v>
      </c>
      <c r="C129" s="141"/>
      <c r="D129" s="141"/>
    </row>
    <row r="130" spans="2:4" s="142" customFormat="1" ht="15" customHeight="1">
      <c r="B130" s="140" t="s">
        <v>360</v>
      </c>
      <c r="C130" s="141"/>
      <c r="D130" s="141"/>
    </row>
    <row r="131" spans="2:4" s="142" customFormat="1" ht="15" customHeight="1">
      <c r="B131" s="140" t="s">
        <v>405</v>
      </c>
      <c r="C131" s="141"/>
      <c r="D131" s="141"/>
    </row>
    <row r="132" spans="2:4" s="142" customFormat="1" ht="15" customHeight="1">
      <c r="B132" s="140" t="s">
        <v>406</v>
      </c>
      <c r="C132" s="141"/>
      <c r="D132" s="141"/>
    </row>
    <row r="133" spans="2:4" s="142" customFormat="1" ht="15" customHeight="1">
      <c r="B133" s="140" t="s">
        <v>493</v>
      </c>
      <c r="C133" s="141"/>
      <c r="D133" s="141"/>
    </row>
    <row r="134" spans="2:4" s="142" customFormat="1" ht="15" customHeight="1">
      <c r="B134" s="140" t="s">
        <v>407</v>
      </c>
      <c r="C134" s="141"/>
      <c r="D134" s="141"/>
    </row>
    <row r="135" spans="2:4" s="142" customFormat="1" ht="15" customHeight="1">
      <c r="B135" s="140" t="s">
        <v>408</v>
      </c>
      <c r="C135" s="141"/>
      <c r="D135" s="141"/>
    </row>
    <row r="136" spans="2:4" s="142" customFormat="1" ht="15" customHeight="1">
      <c r="B136" s="140" t="s">
        <v>409</v>
      </c>
      <c r="C136" s="141"/>
      <c r="D136" s="141"/>
    </row>
    <row r="137" spans="2:4" s="142" customFormat="1" ht="15" customHeight="1">
      <c r="B137" s="140" t="s">
        <v>264</v>
      </c>
      <c r="C137" s="141"/>
      <c r="D137" s="141"/>
    </row>
    <row r="138" spans="2:4" s="142" customFormat="1" ht="15" customHeight="1">
      <c r="B138" s="140" t="s">
        <v>344</v>
      </c>
      <c r="C138" s="141"/>
      <c r="D138" s="141"/>
    </row>
    <row r="139" spans="2:4" s="142" customFormat="1" ht="15" customHeight="1">
      <c r="B139" s="140" t="s">
        <v>208</v>
      </c>
      <c r="C139" s="141"/>
      <c r="D139" s="141"/>
    </row>
    <row r="140" spans="2:4" s="142" customFormat="1" ht="15" customHeight="1">
      <c r="B140" s="140" t="s">
        <v>410</v>
      </c>
      <c r="C140" s="141"/>
      <c r="D140" s="141"/>
    </row>
    <row r="141" spans="2:4" s="142" customFormat="1" ht="15" customHeight="1">
      <c r="B141" s="140" t="s">
        <v>261</v>
      </c>
      <c r="C141" s="141"/>
      <c r="D141" s="141"/>
    </row>
    <row r="142" spans="2:4" s="142" customFormat="1" ht="15" customHeight="1">
      <c r="B142" s="140" t="s">
        <v>411</v>
      </c>
      <c r="C142" s="141"/>
      <c r="D142" s="141"/>
    </row>
    <row r="143" spans="2:4" s="142" customFormat="1" ht="15" customHeight="1">
      <c r="B143" s="140" t="s">
        <v>314</v>
      </c>
      <c r="C143" s="141"/>
      <c r="D143" s="147"/>
    </row>
    <row r="144" spans="2:4" s="142" customFormat="1" ht="15" customHeight="1">
      <c r="B144" s="140" t="s">
        <v>412</v>
      </c>
    </row>
    <row r="145" spans="1:25" s="142" customFormat="1" ht="15" customHeight="1">
      <c r="B145" s="140" t="s">
        <v>413</v>
      </c>
    </row>
    <row r="146" spans="1:25" s="142" customFormat="1" ht="15" customHeight="1">
      <c r="B146" s="140" t="s">
        <v>215</v>
      </c>
    </row>
    <row r="147" spans="1:25" s="142" customFormat="1" ht="15" customHeight="1">
      <c r="B147" s="140" t="s">
        <v>359</v>
      </c>
    </row>
    <row r="148" spans="1:25" s="142" customFormat="1" ht="15" customHeight="1">
      <c r="B148" s="140" t="s">
        <v>303</v>
      </c>
    </row>
    <row r="149" spans="1:25" s="142" customFormat="1" ht="15" customHeight="1">
      <c r="B149" s="140" t="s">
        <v>414</v>
      </c>
    </row>
    <row r="150" spans="1:25" s="142" customFormat="1" ht="15" customHeight="1">
      <c r="B150" s="140" t="s">
        <v>416</v>
      </c>
    </row>
    <row r="151" spans="1:25" s="142" customFormat="1" ht="15" customHeight="1">
      <c r="B151" s="140" t="s">
        <v>415</v>
      </c>
    </row>
    <row r="152" spans="1:25" s="142" customFormat="1" ht="15" customHeight="1">
      <c r="B152" s="140" t="s">
        <v>417</v>
      </c>
    </row>
    <row r="153" spans="1:25" s="142" customFormat="1" ht="15" customHeight="1">
      <c r="B153" s="140" t="s">
        <v>418</v>
      </c>
    </row>
    <row r="154" spans="1:25" s="142" customFormat="1" ht="15" customHeight="1">
      <c r="A154" s="141"/>
      <c r="B154" s="140" t="s">
        <v>419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</row>
    <row r="155" spans="1:25" s="142" customFormat="1" ht="15" customHeight="1">
      <c r="B155" s="140" t="s">
        <v>343</v>
      </c>
    </row>
    <row r="156" spans="1:25" s="142" customFormat="1" ht="15" customHeight="1">
      <c r="A156" s="141"/>
      <c r="B156" s="140" t="s">
        <v>339</v>
      </c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</row>
    <row r="157" spans="1:25" s="142" customFormat="1" ht="15" customHeight="1">
      <c r="B157" s="140" t="s">
        <v>488</v>
      </c>
    </row>
    <row r="158" spans="1:25" s="142" customFormat="1" ht="15" customHeight="1">
      <c r="B158" s="140" t="s">
        <v>122</v>
      </c>
    </row>
    <row r="159" spans="1:25" s="142" customFormat="1" ht="15" customHeight="1">
      <c r="B159" s="140" t="s">
        <v>123</v>
      </c>
    </row>
    <row r="160" spans="1:25" s="142" customFormat="1" ht="15" customHeight="1">
      <c r="B160" s="140" t="s">
        <v>315</v>
      </c>
    </row>
    <row r="161" spans="2:2" s="142" customFormat="1" ht="15" customHeight="1">
      <c r="B161" s="140" t="s">
        <v>420</v>
      </c>
    </row>
    <row r="162" spans="2:2" s="142" customFormat="1" ht="15" customHeight="1">
      <c r="B162" s="140" t="s">
        <v>357</v>
      </c>
    </row>
    <row r="163" spans="2:2" s="142" customFormat="1" ht="15" customHeight="1">
      <c r="B163" s="140" t="s">
        <v>499</v>
      </c>
    </row>
    <row r="164" spans="2:2" s="142" customFormat="1" ht="15" customHeight="1">
      <c r="B164" s="140" t="s">
        <v>421</v>
      </c>
    </row>
    <row r="165" spans="2:2" s="142" customFormat="1" ht="15" customHeight="1">
      <c r="B165" s="140" t="s">
        <v>422</v>
      </c>
    </row>
    <row r="166" spans="2:2" s="142" customFormat="1" ht="15" customHeight="1">
      <c r="B166" s="140" t="s">
        <v>502</v>
      </c>
    </row>
    <row r="167" spans="2:2" s="142" customFormat="1" ht="15" customHeight="1">
      <c r="B167" s="140" t="s">
        <v>299</v>
      </c>
    </row>
    <row r="168" spans="2:2" s="142" customFormat="1" ht="15" customHeight="1">
      <c r="B168" s="140" t="s">
        <v>336</v>
      </c>
    </row>
    <row r="169" spans="2:2" s="142" customFormat="1" ht="15" customHeight="1">
      <c r="B169" s="140" t="s">
        <v>288</v>
      </c>
    </row>
    <row r="170" spans="2:2" s="142" customFormat="1" ht="15" customHeight="1">
      <c r="B170" s="140" t="s">
        <v>423</v>
      </c>
    </row>
    <row r="171" spans="2:2" s="142" customFormat="1" ht="15" customHeight="1">
      <c r="B171" s="140" t="s">
        <v>131</v>
      </c>
    </row>
    <row r="172" spans="2:2" s="142" customFormat="1" ht="15" customHeight="1">
      <c r="B172" s="140" t="s">
        <v>424</v>
      </c>
    </row>
    <row r="173" spans="2:2" s="142" customFormat="1" ht="15" customHeight="1">
      <c r="B173" s="140" t="s">
        <v>133</v>
      </c>
    </row>
    <row r="174" spans="2:2" s="142" customFormat="1" ht="15" customHeight="1">
      <c r="B174" s="140" t="s">
        <v>345</v>
      </c>
    </row>
    <row r="175" spans="2:2" s="142" customFormat="1" ht="15" customHeight="1">
      <c r="B175" s="140" t="s">
        <v>498</v>
      </c>
    </row>
    <row r="176" spans="2:2" s="142" customFormat="1" ht="15" customHeight="1">
      <c r="B176" s="140" t="s">
        <v>490</v>
      </c>
    </row>
    <row r="177" spans="2:2" s="142" customFormat="1" ht="15" customHeight="1">
      <c r="B177" s="140" t="s">
        <v>312</v>
      </c>
    </row>
    <row r="178" spans="2:2" s="142" customFormat="1" ht="15" customHeight="1">
      <c r="B178" s="140" t="s">
        <v>371</v>
      </c>
    </row>
    <row r="179" spans="2:2" s="142" customFormat="1" ht="15" customHeight="1">
      <c r="B179" s="140" t="s">
        <v>372</v>
      </c>
    </row>
    <row r="180" spans="2:2" s="142" customFormat="1" ht="15" customHeight="1">
      <c r="B180" s="140" t="s">
        <v>137</v>
      </c>
    </row>
    <row r="181" spans="2:2" s="142" customFormat="1" ht="15" customHeight="1">
      <c r="B181" s="140" t="s">
        <v>293</v>
      </c>
    </row>
    <row r="182" spans="2:2" s="142" customFormat="1" ht="15" customHeight="1">
      <c r="B182" s="140" t="s">
        <v>363</v>
      </c>
    </row>
    <row r="183" spans="2:2" s="142" customFormat="1" ht="15" customHeight="1">
      <c r="B183" s="140" t="s">
        <v>361</v>
      </c>
    </row>
    <row r="184" spans="2:2" s="142" customFormat="1" ht="15" customHeight="1">
      <c r="B184" s="140" t="s">
        <v>362</v>
      </c>
    </row>
    <row r="185" spans="2:2" s="142" customFormat="1" ht="15" customHeight="1">
      <c r="B185" s="140" t="s">
        <v>373</v>
      </c>
    </row>
    <row r="186" spans="2:2" s="142" customFormat="1" ht="15" customHeight="1">
      <c r="B186" s="140" t="s">
        <v>374</v>
      </c>
    </row>
    <row r="187" spans="2:2" s="142" customFormat="1" ht="15" customHeight="1">
      <c r="B187" s="140" t="s">
        <v>375</v>
      </c>
    </row>
    <row r="188" spans="2:2" s="142" customFormat="1" ht="15" customHeight="1">
      <c r="B188" s="140" t="s">
        <v>376</v>
      </c>
    </row>
    <row r="189" spans="2:2" s="142" customFormat="1" ht="15" customHeight="1">
      <c r="B189" s="140" t="s">
        <v>377</v>
      </c>
    </row>
    <row r="190" spans="2:2" s="142" customFormat="1" ht="15" customHeight="1">
      <c r="B190" s="140" t="s">
        <v>378</v>
      </c>
    </row>
    <row r="191" spans="2:2" s="142" customFormat="1" ht="15" customHeight="1">
      <c r="B191" s="140" t="s">
        <v>379</v>
      </c>
    </row>
    <row r="192" spans="2:2" s="142" customFormat="1" ht="15" customHeight="1">
      <c r="B192" s="140" t="s">
        <v>380</v>
      </c>
    </row>
    <row r="193" spans="2:2" s="142" customFormat="1" ht="15" customHeight="1">
      <c r="B193" s="140" t="s">
        <v>367</v>
      </c>
    </row>
    <row r="194" spans="2:2" s="142" customFormat="1" ht="15" customHeight="1">
      <c r="B194" s="140" t="s">
        <v>370</v>
      </c>
    </row>
    <row r="195" spans="2:2" s="142" customFormat="1" ht="15" customHeight="1">
      <c r="B195" s="140" t="s">
        <v>366</v>
      </c>
    </row>
    <row r="196" spans="2:2" s="142" customFormat="1" ht="15" customHeight="1">
      <c r="B196" s="140" t="s">
        <v>369</v>
      </c>
    </row>
    <row r="197" spans="2:2" s="142" customFormat="1" ht="15" customHeight="1">
      <c r="B197" s="140" t="s">
        <v>368</v>
      </c>
    </row>
    <row r="198" spans="2:2" s="142" customFormat="1" ht="15" customHeight="1">
      <c r="B198" s="140" t="s">
        <v>364</v>
      </c>
    </row>
    <row r="199" spans="2:2" s="142" customFormat="1" ht="15" customHeight="1">
      <c r="B199" s="140" t="s">
        <v>365</v>
      </c>
    </row>
    <row r="200" spans="2:2" s="142" customFormat="1" ht="15" customHeight="1">
      <c r="B200" s="140" t="s">
        <v>309</v>
      </c>
    </row>
    <row r="201" spans="2:2" s="142" customFormat="1" ht="15" customHeight="1">
      <c r="B201" s="140" t="s">
        <v>295</v>
      </c>
    </row>
    <row r="202" spans="2:2" s="142" customFormat="1" ht="15" customHeight="1">
      <c r="B202" s="140" t="s">
        <v>260</v>
      </c>
    </row>
    <row r="203" spans="2:2" s="142" customFormat="1" ht="15" customHeight="1">
      <c r="B203" s="140" t="s">
        <v>425</v>
      </c>
    </row>
    <row r="204" spans="2:2" s="142" customFormat="1" ht="15" customHeight="1">
      <c r="B204" s="140" t="s">
        <v>501</v>
      </c>
    </row>
    <row r="205" spans="2:2" s="142" customFormat="1" ht="15" customHeight="1">
      <c r="B205" s="140" t="s">
        <v>426</v>
      </c>
    </row>
    <row r="206" spans="2:2" s="142" customFormat="1" ht="15" customHeight="1">
      <c r="B206" s="140" t="s">
        <v>427</v>
      </c>
    </row>
    <row r="207" spans="2:2" s="142" customFormat="1" ht="15" customHeight="1">
      <c r="B207" s="140" t="s">
        <v>503</v>
      </c>
    </row>
    <row r="208" spans="2:2" s="142" customFormat="1" ht="15" customHeight="1">
      <c r="B208" s="140" t="s">
        <v>358</v>
      </c>
    </row>
    <row r="209" spans="2:2" s="142" customFormat="1" ht="15" customHeight="1">
      <c r="B209" s="140" t="s">
        <v>428</v>
      </c>
    </row>
    <row r="210" spans="2:2" s="142" customFormat="1" ht="15" customHeight="1">
      <c r="B210" s="140" t="s">
        <v>476</v>
      </c>
    </row>
    <row r="211" spans="2:2" s="142" customFormat="1" ht="15" customHeight="1">
      <c r="B211" s="140" t="s">
        <v>331</v>
      </c>
    </row>
    <row r="212" spans="2:2" s="142" customFormat="1" ht="15" customHeight="1">
      <c r="B212" s="140" t="s">
        <v>429</v>
      </c>
    </row>
    <row r="213" spans="2:2" s="142" customFormat="1" ht="15" customHeight="1">
      <c r="B213" s="140" t="s">
        <v>483</v>
      </c>
    </row>
    <row r="214" spans="2:2" s="142" customFormat="1" ht="15" customHeight="1">
      <c r="B214" s="140" t="s">
        <v>321</v>
      </c>
    </row>
    <row r="215" spans="2:2" s="142" customFormat="1" ht="15" customHeight="1">
      <c r="B215" s="140" t="s">
        <v>430</v>
      </c>
    </row>
    <row r="216" spans="2:2" s="142" customFormat="1" ht="15" customHeight="1">
      <c r="B216" s="140" t="s">
        <v>159</v>
      </c>
    </row>
    <row r="217" spans="2:2" s="142" customFormat="1" ht="15" customHeight="1">
      <c r="B217" s="140" t="s">
        <v>431</v>
      </c>
    </row>
    <row r="218" spans="2:2" s="142" customFormat="1" ht="15" customHeight="1">
      <c r="B218" s="140" t="s">
        <v>486</v>
      </c>
    </row>
    <row r="219" spans="2:2" s="142" customFormat="1" ht="15" customHeight="1">
      <c r="B219" s="140" t="s">
        <v>432</v>
      </c>
    </row>
    <row r="220" spans="2:2" s="142" customFormat="1" ht="15" customHeight="1">
      <c r="B220" s="140" t="s">
        <v>500</v>
      </c>
    </row>
    <row r="221" spans="2:2" s="142" customFormat="1" ht="15" customHeight="1">
      <c r="B221" s="140" t="s">
        <v>433</v>
      </c>
    </row>
    <row r="222" spans="2:2" s="142" customFormat="1" ht="15" customHeight="1">
      <c r="B222" s="140" t="s">
        <v>434</v>
      </c>
    </row>
    <row r="223" spans="2:2" s="142" customFormat="1" ht="15" customHeight="1">
      <c r="B223" s="140" t="s">
        <v>291</v>
      </c>
    </row>
    <row r="224" spans="2:2" s="142" customFormat="1" ht="15" customHeight="1">
      <c r="B224" s="140" t="s">
        <v>165</v>
      </c>
    </row>
    <row r="225" spans="1:25" s="142" customFormat="1" ht="15" customHeight="1">
      <c r="B225" s="140" t="s">
        <v>435</v>
      </c>
    </row>
    <row r="226" spans="1:25" s="142" customFormat="1" ht="15" customHeight="1">
      <c r="B226" s="140" t="s">
        <v>436</v>
      </c>
    </row>
    <row r="227" spans="1:25" s="142" customFormat="1" ht="15" customHeight="1">
      <c r="B227" s="140" t="s">
        <v>167</v>
      </c>
    </row>
    <row r="228" spans="1:25" s="142" customFormat="1" ht="15" customHeight="1">
      <c r="B228" s="140" t="s">
        <v>300</v>
      </c>
    </row>
    <row r="229" spans="1:25" s="142" customFormat="1" ht="15" customHeight="1">
      <c r="B229" s="140" t="s">
        <v>473</v>
      </c>
    </row>
    <row r="230" spans="1:25" s="142" customFormat="1" ht="15" customHeight="1">
      <c r="B230" s="140" t="s">
        <v>437</v>
      </c>
    </row>
    <row r="231" spans="1:25" s="142" customFormat="1" ht="15" customHeight="1">
      <c r="B231" s="140" t="s">
        <v>438</v>
      </c>
    </row>
    <row r="232" spans="1:25" s="142" customFormat="1" ht="15" customHeight="1">
      <c r="B232" s="140" t="s">
        <v>329</v>
      </c>
    </row>
    <row r="233" spans="1:25" s="142" customFormat="1" ht="15" customHeight="1">
      <c r="B233" s="140" t="s">
        <v>439</v>
      </c>
    </row>
    <row r="234" spans="1:25" s="142" customFormat="1" ht="15" customHeight="1">
      <c r="B234" s="140" t="s">
        <v>240</v>
      </c>
    </row>
    <row r="235" spans="1:25" s="142" customFormat="1" ht="15" customHeight="1">
      <c r="B235" s="140" t="s">
        <v>440</v>
      </c>
    </row>
    <row r="236" spans="1:25" s="142" customFormat="1" ht="15" customHeight="1">
      <c r="B236" s="140" t="s">
        <v>472</v>
      </c>
    </row>
    <row r="237" spans="1:25" s="142" customFormat="1" ht="15" customHeight="1">
      <c r="B237" s="140" t="s">
        <v>441</v>
      </c>
    </row>
    <row r="238" spans="1:25" s="142" customFormat="1" ht="15" customHeight="1">
      <c r="B238" s="140" t="s">
        <v>442</v>
      </c>
    </row>
    <row r="239" spans="1:25" s="142" customFormat="1" ht="15" customHeight="1">
      <c r="B239" s="140" t="s">
        <v>207</v>
      </c>
    </row>
    <row r="240" spans="1:25" s="141" customFormat="1" ht="15" customHeight="1">
      <c r="A240" s="142"/>
      <c r="B240" s="140" t="s">
        <v>171</v>
      </c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</row>
    <row r="241" spans="1:25" s="141" customFormat="1" ht="15" customHeight="1">
      <c r="A241" s="142"/>
      <c r="B241" s="140" t="s">
        <v>172</v>
      </c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</row>
    <row r="242" spans="1:25" s="141" customFormat="1" ht="15" customHeight="1">
      <c r="A242" s="142"/>
      <c r="B242" s="140" t="s">
        <v>305</v>
      </c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</row>
    <row r="243" spans="1:25" s="141" customFormat="1" ht="15" customHeight="1">
      <c r="A243" s="142"/>
      <c r="B243" s="140" t="s">
        <v>443</v>
      </c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</row>
    <row r="244" spans="1:25" s="141" customFormat="1" ht="15" customHeight="1">
      <c r="A244" s="142"/>
      <c r="B244" s="140" t="s">
        <v>206</v>
      </c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</row>
    <row r="245" spans="1:25" s="142" customFormat="1" ht="15" customHeight="1">
      <c r="B245" s="140" t="s">
        <v>479</v>
      </c>
    </row>
    <row r="246" spans="1:25" s="142" customFormat="1" ht="15" customHeight="1">
      <c r="B246" s="140" t="s">
        <v>173</v>
      </c>
    </row>
    <row r="247" spans="1:25" s="142" customFormat="1" ht="15" customHeight="1">
      <c r="B247" s="140" t="s">
        <v>482</v>
      </c>
    </row>
    <row r="248" spans="1:25" s="142" customFormat="1" ht="15" customHeight="1">
      <c r="B248" s="140" t="s">
        <v>444</v>
      </c>
    </row>
    <row r="249" spans="1:25" s="141" customFormat="1" ht="15" customHeight="1">
      <c r="A249" s="142"/>
      <c r="B249" s="140" t="s">
        <v>460</v>
      </c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</row>
    <row r="250" spans="1:25" s="141" customFormat="1" ht="15" customHeight="1">
      <c r="A250" s="142"/>
      <c r="B250" s="140" t="s">
        <v>489</v>
      </c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</row>
    <row r="251" spans="1:25" s="141" customFormat="1" ht="15" customHeight="1">
      <c r="B251" s="140" t="s">
        <v>346</v>
      </c>
    </row>
    <row r="252" spans="1:25" s="141" customFormat="1" ht="15" customHeight="1">
      <c r="A252" s="142"/>
      <c r="B252" s="140" t="s">
        <v>496</v>
      </c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</row>
    <row r="253" spans="1:25" s="141" customFormat="1" ht="15" customHeight="1">
      <c r="A253" s="142"/>
      <c r="B253" s="140" t="s">
        <v>445</v>
      </c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</row>
    <row r="254" spans="1:25" s="142" customFormat="1" ht="18" customHeight="1">
      <c r="B254" s="140" t="s">
        <v>205</v>
      </c>
    </row>
    <row r="255" spans="1:25" s="142" customFormat="1" ht="18" customHeight="1">
      <c r="B255" s="140" t="s">
        <v>302</v>
      </c>
    </row>
    <row r="256" spans="1:25" s="142" customFormat="1" ht="18" customHeight="1">
      <c r="B256" s="140" t="s">
        <v>265</v>
      </c>
    </row>
    <row r="257" spans="2:2" s="142" customFormat="1" ht="18" customHeight="1">
      <c r="B257" s="140" t="s">
        <v>318</v>
      </c>
    </row>
    <row r="258" spans="2:2" s="142" customFormat="1" ht="18" customHeight="1">
      <c r="B258" s="140" t="s">
        <v>178</v>
      </c>
    </row>
    <row r="259" spans="2:2" s="142" customFormat="1" ht="18" customHeight="1">
      <c r="B259" s="140" t="s">
        <v>491</v>
      </c>
    </row>
    <row r="260" spans="2:2" s="142" customFormat="1" ht="18" customHeight="1">
      <c r="B260" s="140" t="s">
        <v>480</v>
      </c>
    </row>
    <row r="261" spans="2:2" s="142" customFormat="1" ht="18" customHeight="1">
      <c r="B261" s="140" t="s">
        <v>446</v>
      </c>
    </row>
    <row r="262" spans="2:2" s="142" customFormat="1" ht="18" customHeight="1">
      <c r="B262" s="140" t="s">
        <v>447</v>
      </c>
    </row>
    <row r="263" spans="2:2" s="142" customFormat="1" ht="18" customHeight="1">
      <c r="B263" s="140" t="s">
        <v>448</v>
      </c>
    </row>
    <row r="264" spans="2:2" s="142" customFormat="1" ht="18" customHeight="1">
      <c r="B264" s="140" t="s">
        <v>461</v>
      </c>
    </row>
    <row r="265" spans="2:2" s="142" customFormat="1" ht="18" customHeight="1">
      <c r="B265" s="140" t="s">
        <v>449</v>
      </c>
    </row>
    <row r="266" spans="2:2" s="142" customFormat="1" ht="18" customHeight="1">
      <c r="B266" s="140" t="s">
        <v>186</v>
      </c>
    </row>
    <row r="267" spans="2:2" s="142" customFormat="1" ht="18" customHeight="1">
      <c r="B267" s="140" t="s">
        <v>282</v>
      </c>
    </row>
    <row r="268" spans="2:2" s="142" customFormat="1" ht="18" customHeight="1">
      <c r="B268" s="140" t="s">
        <v>322</v>
      </c>
    </row>
    <row r="269" spans="2:2" s="142" customFormat="1" ht="18" customHeight="1">
      <c r="B269" s="140" t="s">
        <v>340</v>
      </c>
    </row>
    <row r="270" spans="2:2" s="142" customFormat="1" ht="18" customHeight="1">
      <c r="B270" s="140" t="s">
        <v>274</v>
      </c>
    </row>
    <row r="271" spans="2:2" s="142" customFormat="1" ht="18" customHeight="1">
      <c r="B271" s="140" t="s">
        <v>450</v>
      </c>
    </row>
    <row r="272" spans="2:2" s="142" customFormat="1" ht="18" customHeight="1">
      <c r="B272" s="140" t="s">
        <v>313</v>
      </c>
    </row>
    <row r="273" spans="2:3" s="142" customFormat="1" ht="18" customHeight="1">
      <c r="B273" s="140" t="s">
        <v>451</v>
      </c>
    </row>
    <row r="274" spans="2:3" s="142" customFormat="1" ht="18" customHeight="1">
      <c r="B274" s="140" t="s">
        <v>272</v>
      </c>
    </row>
    <row r="275" spans="2:3" s="142" customFormat="1" ht="18" customHeight="1">
      <c r="B275" s="140" t="s">
        <v>492</v>
      </c>
    </row>
    <row r="276" spans="2:3" s="142" customFormat="1" ht="18" customHeight="1">
      <c r="B276" s="140" t="s">
        <v>466</v>
      </c>
    </row>
    <row r="277" spans="2:3" s="142" customFormat="1" ht="18" customHeight="1">
      <c r="B277" s="140" t="s">
        <v>306</v>
      </c>
    </row>
    <row r="278" spans="2:3" s="100" customFormat="1" ht="18" customHeight="1">
      <c r="B278" s="140" t="s">
        <v>452</v>
      </c>
      <c r="C278" s="142"/>
    </row>
    <row r="279" spans="2:3" s="100" customFormat="1" ht="18" customHeight="1">
      <c r="B279" s="140" t="s">
        <v>236</v>
      </c>
      <c r="C279" s="142"/>
    </row>
    <row r="280" spans="2:3" s="100" customFormat="1" ht="18" customHeight="1">
      <c r="B280" s="140" t="s">
        <v>316</v>
      </c>
      <c r="C280" s="142"/>
    </row>
    <row r="281" spans="2:3" s="100" customFormat="1" ht="18" customHeight="1">
      <c r="B281" s="140" t="s">
        <v>453</v>
      </c>
      <c r="C281" s="142"/>
    </row>
    <row r="282" spans="2:3" s="100" customFormat="1" ht="18" customHeight="1">
      <c r="B282" s="140" t="s">
        <v>454</v>
      </c>
      <c r="C282" s="142"/>
    </row>
    <row r="283" spans="2:3" s="100" customFormat="1" ht="18" customHeight="1">
      <c r="B283" s="140" t="s">
        <v>475</v>
      </c>
      <c r="C283" s="142"/>
    </row>
    <row r="284" spans="2:3" s="100" customFormat="1" ht="18" customHeight="1">
      <c r="B284" s="140" t="s">
        <v>481</v>
      </c>
      <c r="C284" s="142"/>
    </row>
    <row r="285" spans="2:3" s="100" customFormat="1" ht="18" customHeight="1">
      <c r="B285" s="140" t="s">
        <v>455</v>
      </c>
      <c r="C285" s="142"/>
    </row>
    <row r="286" spans="2:3" s="100" customFormat="1" ht="18" customHeight="1">
      <c r="B286" s="140" t="s">
        <v>462</v>
      </c>
      <c r="C286" s="142"/>
    </row>
    <row r="287" spans="2:3" s="100" customFormat="1" ht="18" customHeight="1">
      <c r="B287" s="140" t="s">
        <v>326</v>
      </c>
    </row>
    <row r="288" spans="2:3" s="100" customFormat="1" ht="18" customHeight="1">
      <c r="B288" s="140" t="s">
        <v>474</v>
      </c>
    </row>
    <row r="289" spans="2:2" s="100" customFormat="1" ht="18" customHeight="1">
      <c r="B289" s="140" t="s">
        <v>463</v>
      </c>
    </row>
    <row r="290" spans="2:2" s="100" customFormat="1" ht="18" customHeight="1">
      <c r="B290" s="140" t="s">
        <v>267</v>
      </c>
    </row>
    <row r="291" spans="2:2" s="100" customFormat="1" ht="18" customHeight="1">
      <c r="B291" s="140" t="s">
        <v>320</v>
      </c>
    </row>
    <row r="292" spans="2:2" s="100" customFormat="1" ht="18" customHeight="1">
      <c r="B292" s="140" t="s">
        <v>317</v>
      </c>
    </row>
    <row r="293" spans="2:2" s="100" customFormat="1" ht="18" customHeight="1">
      <c r="B293" s="140" t="s">
        <v>323</v>
      </c>
    </row>
    <row r="294" spans="2:2" s="100" customFormat="1" ht="18" customHeight="1">
      <c r="B294" s="140" t="s">
        <v>456</v>
      </c>
    </row>
    <row r="295" spans="2:2" s="100" customFormat="1" ht="18" customHeight="1">
      <c r="B295" s="140" t="s">
        <v>457</v>
      </c>
    </row>
    <row r="296" spans="2:2" s="100" customFormat="1" ht="18" customHeight="1">
      <c r="B296" s="140" t="s">
        <v>332</v>
      </c>
    </row>
    <row r="297" spans="2:2" s="100" customFormat="1" ht="18" customHeight="1">
      <c r="B297" s="140" t="s">
        <v>304</v>
      </c>
    </row>
    <row r="298" spans="2:2" s="100" customFormat="1" ht="18" customHeight="1">
      <c r="B298" s="140" t="s">
        <v>458</v>
      </c>
    </row>
    <row r="299" spans="2:2" s="100" customFormat="1" ht="18" customHeight="1">
      <c r="B299" s="140" t="s">
        <v>199</v>
      </c>
    </row>
    <row r="300" spans="2:2" s="100" customFormat="1" ht="18" customHeight="1">
      <c r="B300" s="140" t="s">
        <v>290</v>
      </c>
    </row>
    <row r="301" spans="2:2" s="100" customFormat="1" ht="18" customHeight="1">
      <c r="B301" s="140" t="s">
        <v>200</v>
      </c>
    </row>
    <row r="302" spans="2:2" s="100" customFormat="1" ht="18" customHeight="1">
      <c r="B302" s="140" t="s">
        <v>459</v>
      </c>
    </row>
    <row r="303" spans="2:2" s="100" customFormat="1" ht="18" customHeight="1">
      <c r="B303" s="140" t="s">
        <v>308</v>
      </c>
    </row>
    <row r="304" spans="2:2" s="100" customFormat="1" ht="18" customHeight="1">
      <c r="B304" s="140" t="s">
        <v>202</v>
      </c>
    </row>
    <row r="305" spans="2:2" s="100" customFormat="1" ht="18" customHeight="1">
      <c r="B305" s="140" t="s">
        <v>311</v>
      </c>
    </row>
    <row r="306" spans="2:2" s="100" customFormat="1" ht="18" customHeight="1">
      <c r="B306" s="140" t="s">
        <v>350</v>
      </c>
    </row>
    <row r="307" spans="2:2" s="100" customFormat="1" ht="18" customHeight="1">
      <c r="B307" s="140" t="s">
        <v>204</v>
      </c>
    </row>
    <row r="308" spans="2:2" s="100" customFormat="1" ht="18" customHeight="1"/>
    <row r="309" spans="2:2" s="100" customFormat="1" ht="30" customHeight="1"/>
    <row r="310" spans="2:2" s="100" customFormat="1" ht="30" customHeight="1"/>
    <row r="311" spans="2:2" s="100" customFormat="1" ht="30" customHeight="1"/>
    <row r="312" spans="2:2" s="100" customFormat="1" ht="30" customHeight="1"/>
    <row r="313" spans="2:2" s="100" customFormat="1" ht="30" customHeight="1"/>
    <row r="314" spans="2:2" s="100" customFormat="1" ht="30" customHeight="1"/>
    <row r="315" spans="2:2" s="100" customFormat="1" ht="30" customHeight="1"/>
    <row r="316" spans="2:2" s="100" customFormat="1" ht="30" customHeight="1"/>
    <row r="317" spans="2:2" s="100" customFormat="1" ht="30" customHeight="1"/>
    <row r="318" spans="2:2" s="100" customFormat="1" ht="30" customHeight="1"/>
    <row r="319" spans="2:2" s="100" customFormat="1" ht="30" customHeight="1"/>
    <row r="320" spans="2:2" s="100" customFormat="1" ht="30" customHeight="1"/>
    <row r="321" s="100" customFormat="1" ht="30" customHeight="1"/>
    <row r="322" s="100" customFormat="1" ht="30" customHeight="1"/>
  </sheetData>
  <sheetProtection algorithmName="SHA-512" hashValue="+Pl6UgEVuDSuY+Biv1OxHr/ZcK8z9i78NRDoCp0tNKadjEOwkXsV3Bvllq6K1OCPTSpUX3u9xWZNovBuY1WNvw==" saltValue="WaASqP+v8XmUitfwdKnmAQ==" spinCount="100000" sheet="1" selectLockedCells="1"/>
  <sortState ref="B47:B237">
    <sortCondition ref="B237"/>
  </sortState>
  <mergeCells count="53">
    <mergeCell ref="L9:N10"/>
    <mergeCell ref="B10:D10"/>
    <mergeCell ref="E10:G10"/>
    <mergeCell ref="B11:D11"/>
    <mergeCell ref="E11:G11"/>
    <mergeCell ref="H11:K11"/>
    <mergeCell ref="L11:N11"/>
    <mergeCell ref="B44:F44"/>
    <mergeCell ref="B4:C5"/>
    <mergeCell ref="D4:H7"/>
    <mergeCell ref="B6:C7"/>
    <mergeCell ref="B9:D9"/>
    <mergeCell ref="E9:G9"/>
    <mergeCell ref="H9:K10"/>
    <mergeCell ref="B13:D13"/>
    <mergeCell ref="H15:N15"/>
    <mergeCell ref="E13:F13"/>
    <mergeCell ref="B14:D14"/>
    <mergeCell ref="E14:F14"/>
    <mergeCell ref="G14:N14"/>
    <mergeCell ref="B16:B17"/>
    <mergeCell ref="C16:D16"/>
    <mergeCell ref="E16:E17"/>
    <mergeCell ref="F16:G17"/>
    <mergeCell ref="L16:M16"/>
    <mergeCell ref="N16:N17"/>
    <mergeCell ref="F18:G18"/>
    <mergeCell ref="H16:I16"/>
    <mergeCell ref="J16:K16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B41:D41"/>
    <mergeCell ref="F41:G41"/>
    <mergeCell ref="F36:G36"/>
    <mergeCell ref="F37:G37"/>
    <mergeCell ref="F38:G38"/>
    <mergeCell ref="F39:G39"/>
    <mergeCell ref="F40:G40"/>
  </mergeCells>
  <phoneticPr fontId="1" type="noConversion"/>
  <conditionalFormatting sqref="B18:N35 B36:F36 H36:N36 B37:N40">
    <cfRule type="containsBlanks" dxfId="4" priority="5">
      <formula>LEN(TRIM(B18))=0</formula>
    </cfRule>
  </conditionalFormatting>
  <conditionalFormatting sqref="E9:G9">
    <cfRule type="cellIs" dxfId="3" priority="3" operator="equal">
      <formula>0</formula>
    </cfRule>
  </conditionalFormatting>
  <conditionalFormatting sqref="E10:G10">
    <cfRule type="cellIs" dxfId="2" priority="2" operator="equal">
      <formula>0</formula>
    </cfRule>
  </conditionalFormatting>
  <conditionalFormatting sqref="E11:G11">
    <cfRule type="cellIs" dxfId="1" priority="1" operator="equal">
      <formula>0</formula>
    </cfRule>
  </conditionalFormatting>
  <dataValidations count="1">
    <dataValidation type="list" allowBlank="1" showInputMessage="1" showErrorMessage="1" sqref="B6:C7" xr:uid="{00000000-0002-0000-0700-000000000000}">
      <formula1>"1월,2월,3월,4월,5월,6월,7월,8월,9월,10월,11월,12월"</formula1>
    </dataValidation>
  </dataValidations>
  <printOptions horizontalCentered="1"/>
  <pageMargins left="0.24" right="0.24" top="0.31" bottom="0.31" header="0.31" footer="0.31"/>
  <pageSetup paperSize="9" scale="6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Drop Down 1">
              <controlPr defaultSize="0" autoLine="0" autoPict="0">
                <anchor>
                  <from>
                    <xdr:col>11</xdr:col>
                    <xdr:colOff>19050</xdr:colOff>
                    <xdr:row>10</xdr:row>
                    <xdr:rowOff>31750</xdr:rowOff>
                  </from>
                  <to>
                    <xdr:col>13</xdr:col>
                    <xdr:colOff>1060450</xdr:colOff>
                    <xdr:row>10</xdr:row>
                    <xdr:rowOff>355600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5" tint="0.59996337778862885"/>
    <pageSetUpPr fitToPage="1"/>
  </sheetPr>
  <dimension ref="A1:AB306"/>
  <sheetViews>
    <sheetView showGridLines="0" zoomScale="70" zoomScaleNormal="70" workbookViewId="0">
      <selection activeCell="B6" sqref="B6"/>
    </sheetView>
  </sheetViews>
  <sheetFormatPr defaultColWidth="9" defaultRowHeight="30" customHeight="1"/>
  <cols>
    <col min="1" max="1" width="1.5" style="1" customWidth="1"/>
    <col min="2" max="2" width="3" style="1" customWidth="1"/>
    <col min="3" max="3" width="8.58203125" style="1" customWidth="1"/>
    <col min="4" max="4" width="7.08203125" style="1" customWidth="1"/>
    <col min="5" max="5" width="11.5" style="1" customWidth="1"/>
    <col min="6" max="6" width="8.25" style="1" customWidth="1"/>
    <col min="7" max="7" width="16.25" style="1" customWidth="1"/>
    <col min="8" max="9" width="11.33203125" style="1" customWidth="1"/>
    <col min="10" max="13" width="11" style="1" customWidth="1"/>
    <col min="14" max="14" width="14.75" style="1" customWidth="1"/>
    <col min="15" max="15" width="1.5" style="1" customWidth="1"/>
    <col min="16" max="16" width="9" style="1" customWidth="1"/>
    <col min="17" max="16384" width="9" style="1"/>
  </cols>
  <sheetData>
    <row r="1" spans="2:14" ht="15" customHeight="1"/>
    <row r="2" spans="2:14" ht="30" customHeight="1" thickBot="1">
      <c r="B2" s="63"/>
      <c r="C2" s="63"/>
      <c r="D2" s="63"/>
      <c r="E2" s="63"/>
      <c r="F2" s="63"/>
      <c r="G2" s="245" t="s">
        <v>62</v>
      </c>
      <c r="H2" s="245"/>
      <c r="I2" s="245"/>
      <c r="J2" s="245"/>
      <c r="K2" s="245"/>
      <c r="L2" s="245"/>
      <c r="M2" s="245"/>
      <c r="N2" s="64" t="s">
        <v>44</v>
      </c>
    </row>
    <row r="3" spans="2:14" ht="19.5" customHeight="1" thickTop="1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2:14" s="4" customFormat="1" ht="30" customHeight="1">
      <c r="B4" s="239" t="s">
        <v>2</v>
      </c>
      <c r="C4" s="241" t="s">
        <v>26</v>
      </c>
      <c r="D4" s="242"/>
      <c r="E4" s="243" t="s">
        <v>23</v>
      </c>
      <c r="F4" s="197" t="s">
        <v>24</v>
      </c>
      <c r="G4" s="198"/>
      <c r="H4" s="159" t="s">
        <v>75</v>
      </c>
      <c r="I4" s="161"/>
      <c r="J4" s="159" t="s">
        <v>29</v>
      </c>
      <c r="K4" s="161"/>
      <c r="L4" s="159" t="s">
        <v>18</v>
      </c>
      <c r="M4" s="161"/>
      <c r="N4" s="201" t="s">
        <v>15</v>
      </c>
    </row>
    <row r="5" spans="2:14" s="4" customFormat="1" ht="30" customHeight="1">
      <c r="B5" s="240"/>
      <c r="C5" s="98" t="s">
        <v>21</v>
      </c>
      <c r="D5" s="98" t="s">
        <v>22</v>
      </c>
      <c r="E5" s="244"/>
      <c r="F5" s="199"/>
      <c r="G5" s="200"/>
      <c r="H5" s="95" t="s">
        <v>71</v>
      </c>
      <c r="I5" s="95" t="s">
        <v>72</v>
      </c>
      <c r="J5" s="95" t="s">
        <v>27</v>
      </c>
      <c r="K5" s="95" t="s">
        <v>28</v>
      </c>
      <c r="L5" s="95" t="s">
        <v>16</v>
      </c>
      <c r="M5" s="95" t="s">
        <v>17</v>
      </c>
      <c r="N5" s="202"/>
    </row>
    <row r="6" spans="2:14" s="4" customFormat="1" ht="22.5" customHeight="1">
      <c r="B6" s="88"/>
      <c r="C6" s="88"/>
      <c r="D6" s="88"/>
      <c r="E6" s="88"/>
      <c r="F6" s="191"/>
      <c r="G6" s="193"/>
      <c r="H6" s="96"/>
      <c r="I6" s="96"/>
      <c r="J6" s="81"/>
      <c r="K6" s="81"/>
      <c r="L6" s="81"/>
      <c r="M6" s="81"/>
      <c r="N6" s="97"/>
    </row>
    <row r="7" spans="2:14" s="4" customFormat="1" ht="22.5" customHeight="1">
      <c r="B7" s="86"/>
      <c r="C7" s="86"/>
      <c r="D7" s="86"/>
      <c r="E7" s="86"/>
      <c r="F7" s="148"/>
      <c r="G7" s="150"/>
      <c r="H7" s="34"/>
      <c r="I7" s="34"/>
      <c r="J7" s="35"/>
      <c r="K7" s="35"/>
      <c r="L7" s="35"/>
      <c r="M7" s="35"/>
      <c r="N7" s="90"/>
    </row>
    <row r="8" spans="2:14" s="4" customFormat="1" ht="22.5" customHeight="1">
      <c r="B8" s="86"/>
      <c r="C8" s="86"/>
      <c r="D8" s="86"/>
      <c r="E8" s="86"/>
      <c r="F8" s="148"/>
      <c r="G8" s="150"/>
      <c r="H8" s="34"/>
      <c r="I8" s="34"/>
      <c r="J8" s="35"/>
      <c r="K8" s="35"/>
      <c r="L8" s="35"/>
      <c r="M8" s="35"/>
      <c r="N8" s="90"/>
    </row>
    <row r="9" spans="2:14" s="14" customFormat="1" ht="22.5" customHeight="1">
      <c r="B9" s="86"/>
      <c r="C9" s="86"/>
      <c r="D9" s="86"/>
      <c r="E9" s="86"/>
      <c r="F9" s="148"/>
      <c r="G9" s="150"/>
      <c r="H9" s="34"/>
      <c r="I9" s="34"/>
      <c r="J9" s="35"/>
      <c r="K9" s="35"/>
      <c r="L9" s="35"/>
      <c r="M9" s="35"/>
      <c r="N9" s="90"/>
    </row>
    <row r="10" spans="2:14" s="14" customFormat="1" ht="22.5" customHeight="1">
      <c r="B10" s="86"/>
      <c r="C10" s="86"/>
      <c r="D10" s="86"/>
      <c r="E10" s="86"/>
      <c r="F10" s="148"/>
      <c r="G10" s="150"/>
      <c r="H10" s="34"/>
      <c r="I10" s="34"/>
      <c r="J10" s="35"/>
      <c r="K10" s="35"/>
      <c r="L10" s="35"/>
      <c r="M10" s="35"/>
      <c r="N10" s="90"/>
    </row>
    <row r="11" spans="2:14" s="14" customFormat="1" ht="22.5" customHeight="1">
      <c r="B11" s="86"/>
      <c r="C11" s="86"/>
      <c r="D11" s="86"/>
      <c r="E11" s="86"/>
      <c r="F11" s="148"/>
      <c r="G11" s="150"/>
      <c r="H11" s="34"/>
      <c r="I11" s="34"/>
      <c r="J11" s="35"/>
      <c r="K11" s="35"/>
      <c r="L11" s="35"/>
      <c r="M11" s="35"/>
      <c r="N11" s="90"/>
    </row>
    <row r="12" spans="2:14" ht="22.5" customHeight="1">
      <c r="B12" s="86"/>
      <c r="C12" s="86"/>
      <c r="D12" s="86"/>
      <c r="E12" s="86"/>
      <c r="F12" s="148"/>
      <c r="G12" s="150"/>
      <c r="H12" s="34"/>
      <c r="I12" s="34"/>
      <c r="J12" s="35"/>
      <c r="K12" s="35"/>
      <c r="L12" s="35"/>
      <c r="M12" s="35"/>
      <c r="N12" s="90"/>
    </row>
    <row r="13" spans="2:14" ht="22.5" customHeight="1">
      <c r="B13" s="86"/>
      <c r="C13" s="86"/>
      <c r="D13" s="86"/>
      <c r="E13" s="86"/>
      <c r="F13" s="148"/>
      <c r="G13" s="150"/>
      <c r="H13" s="34"/>
      <c r="I13" s="34"/>
      <c r="J13" s="35"/>
      <c r="K13" s="35"/>
      <c r="L13" s="35"/>
      <c r="M13" s="35"/>
      <c r="N13" s="90"/>
    </row>
    <row r="14" spans="2:14" ht="22.5" customHeight="1">
      <c r="B14" s="86"/>
      <c r="C14" s="86"/>
      <c r="D14" s="86"/>
      <c r="E14" s="86"/>
      <c r="F14" s="148"/>
      <c r="G14" s="150"/>
      <c r="H14" s="34"/>
      <c r="I14" s="34"/>
      <c r="J14" s="35"/>
      <c r="K14" s="35"/>
      <c r="L14" s="35"/>
      <c r="M14" s="35"/>
      <c r="N14" s="90"/>
    </row>
    <row r="15" spans="2:14" ht="22.5" customHeight="1">
      <c r="B15" s="86"/>
      <c r="C15" s="86"/>
      <c r="D15" s="86"/>
      <c r="E15" s="86"/>
      <c r="F15" s="148"/>
      <c r="G15" s="150"/>
      <c r="H15" s="34"/>
      <c r="I15" s="34"/>
      <c r="J15" s="35"/>
      <c r="K15" s="35"/>
      <c r="L15" s="35"/>
      <c r="M15" s="35"/>
      <c r="N15" s="90"/>
    </row>
    <row r="16" spans="2:14" s="4" customFormat="1" ht="22.5" customHeight="1">
      <c r="B16" s="86"/>
      <c r="C16" s="86"/>
      <c r="D16" s="86"/>
      <c r="E16" s="86"/>
      <c r="F16" s="148"/>
      <c r="G16" s="150"/>
      <c r="H16" s="34"/>
      <c r="I16" s="34"/>
      <c r="J16" s="35"/>
      <c r="K16" s="35"/>
      <c r="L16" s="35"/>
      <c r="M16" s="35"/>
      <c r="N16" s="90"/>
    </row>
    <row r="17" spans="2:17" s="4" customFormat="1" ht="22.5" customHeight="1">
      <c r="B17" s="86"/>
      <c r="C17" s="86"/>
      <c r="D17" s="86"/>
      <c r="E17" s="86"/>
      <c r="F17" s="148"/>
      <c r="G17" s="150"/>
      <c r="H17" s="34"/>
      <c r="I17" s="34"/>
      <c r="J17" s="35"/>
      <c r="K17" s="35"/>
      <c r="L17" s="35"/>
      <c r="M17" s="35"/>
      <c r="N17" s="90"/>
      <c r="Q17" s="14" t="s">
        <v>31</v>
      </c>
    </row>
    <row r="18" spans="2:17" ht="22.5" customHeight="1">
      <c r="B18" s="86"/>
      <c r="C18" s="86"/>
      <c r="D18" s="86"/>
      <c r="E18" s="86"/>
      <c r="F18" s="148"/>
      <c r="G18" s="150"/>
      <c r="H18" s="34"/>
      <c r="I18" s="34"/>
      <c r="J18" s="35"/>
      <c r="K18" s="35"/>
      <c r="L18" s="35"/>
      <c r="M18" s="35"/>
      <c r="N18" s="90"/>
    </row>
    <row r="19" spans="2:17" ht="22.5" customHeight="1">
      <c r="B19" s="86"/>
      <c r="C19" s="86"/>
      <c r="D19" s="86"/>
      <c r="E19" s="86"/>
      <c r="F19" s="148"/>
      <c r="G19" s="150"/>
      <c r="H19" s="34"/>
      <c r="I19" s="34"/>
      <c r="J19" s="35"/>
      <c r="K19" s="35"/>
      <c r="L19" s="35"/>
      <c r="M19" s="35"/>
      <c r="N19" s="90"/>
    </row>
    <row r="20" spans="2:17" ht="22.5" customHeight="1">
      <c r="B20" s="86"/>
      <c r="C20" s="86"/>
      <c r="D20" s="86"/>
      <c r="E20" s="86"/>
      <c r="F20" s="148"/>
      <c r="G20" s="150"/>
      <c r="H20" s="34"/>
      <c r="I20" s="34"/>
      <c r="J20" s="35"/>
      <c r="K20" s="35"/>
      <c r="L20" s="35"/>
      <c r="M20" s="35"/>
      <c r="N20" s="90"/>
    </row>
    <row r="21" spans="2:17" ht="22.5" customHeight="1">
      <c r="B21" s="86"/>
      <c r="C21" s="86"/>
      <c r="D21" s="86"/>
      <c r="E21" s="86"/>
      <c r="F21" s="148"/>
      <c r="G21" s="150"/>
      <c r="H21" s="34"/>
      <c r="I21" s="34"/>
      <c r="J21" s="35"/>
      <c r="K21" s="35"/>
      <c r="L21" s="35"/>
      <c r="M21" s="35"/>
      <c r="N21" s="90"/>
    </row>
    <row r="22" spans="2:17" ht="22.5" customHeight="1">
      <c r="B22" s="86"/>
      <c r="C22" s="86"/>
      <c r="D22" s="86"/>
      <c r="E22" s="86"/>
      <c r="F22" s="148"/>
      <c r="G22" s="150"/>
      <c r="H22" s="34"/>
      <c r="I22" s="34"/>
      <c r="J22" s="35"/>
      <c r="K22" s="35"/>
      <c r="L22" s="35"/>
      <c r="M22" s="35"/>
      <c r="N22" s="90"/>
    </row>
    <row r="23" spans="2:17" ht="22.5" customHeight="1">
      <c r="B23" s="86"/>
      <c r="C23" s="86"/>
      <c r="D23" s="86"/>
      <c r="E23" s="86"/>
      <c r="F23" s="148"/>
      <c r="G23" s="150"/>
      <c r="H23" s="34"/>
      <c r="I23" s="34"/>
      <c r="J23" s="35"/>
      <c r="K23" s="35"/>
      <c r="L23" s="35"/>
      <c r="M23" s="35"/>
      <c r="N23" s="90"/>
    </row>
    <row r="24" spans="2:17" ht="22.5" customHeight="1">
      <c r="B24" s="86"/>
      <c r="C24" s="86"/>
      <c r="D24" s="86"/>
      <c r="E24" s="86"/>
      <c r="F24" s="148"/>
      <c r="G24" s="150"/>
      <c r="H24" s="34"/>
      <c r="I24" s="34"/>
      <c r="J24" s="35"/>
      <c r="K24" s="35"/>
      <c r="L24" s="35"/>
      <c r="M24" s="35"/>
      <c r="N24" s="90"/>
    </row>
    <row r="25" spans="2:17" ht="22.5" customHeight="1">
      <c r="B25" s="86"/>
      <c r="C25" s="86"/>
      <c r="D25" s="86"/>
      <c r="E25" s="86"/>
      <c r="F25" s="148"/>
      <c r="G25" s="150"/>
      <c r="H25" s="34"/>
      <c r="I25" s="34"/>
      <c r="J25" s="35"/>
      <c r="K25" s="35"/>
      <c r="L25" s="35"/>
      <c r="M25" s="35"/>
      <c r="N25" s="90"/>
    </row>
    <row r="26" spans="2:17" ht="22.5" customHeight="1">
      <c r="B26" s="86"/>
      <c r="C26" s="86"/>
      <c r="D26" s="86"/>
      <c r="E26" s="86"/>
      <c r="F26" s="148"/>
      <c r="G26" s="150"/>
      <c r="H26" s="34"/>
      <c r="I26" s="34"/>
      <c r="J26" s="35"/>
      <c r="K26" s="35"/>
      <c r="L26" s="35"/>
      <c r="M26" s="35"/>
      <c r="N26" s="90"/>
    </row>
    <row r="27" spans="2:17" ht="22.5" customHeight="1">
      <c r="B27" s="86"/>
      <c r="C27" s="86"/>
      <c r="D27" s="86"/>
      <c r="E27" s="86"/>
      <c r="F27" s="148"/>
      <c r="G27" s="150"/>
      <c r="H27" s="34"/>
      <c r="I27" s="34"/>
      <c r="J27" s="35"/>
      <c r="K27" s="35"/>
      <c r="L27" s="35"/>
      <c r="M27" s="35"/>
      <c r="N27" s="90"/>
    </row>
    <row r="28" spans="2:17" ht="22.5" customHeight="1">
      <c r="B28" s="86"/>
      <c r="C28" s="86"/>
      <c r="D28" s="86"/>
      <c r="E28" s="86"/>
      <c r="F28" s="148"/>
      <c r="G28" s="150"/>
      <c r="H28" s="34"/>
      <c r="I28" s="34"/>
      <c r="J28" s="35"/>
      <c r="K28" s="35"/>
      <c r="L28" s="35"/>
      <c r="M28" s="35"/>
      <c r="N28" s="90"/>
    </row>
    <row r="29" spans="2:17" ht="22.5" customHeight="1">
      <c r="B29" s="86"/>
      <c r="C29" s="86"/>
      <c r="D29" s="86"/>
      <c r="E29" s="86"/>
      <c r="F29" s="148"/>
      <c r="G29" s="150"/>
      <c r="H29" s="34"/>
      <c r="I29" s="34"/>
      <c r="J29" s="35"/>
      <c r="K29" s="35"/>
      <c r="L29" s="35"/>
      <c r="M29" s="35"/>
      <c r="N29" s="90"/>
    </row>
    <row r="30" spans="2:17" ht="22.5" customHeight="1">
      <c r="B30" s="86"/>
      <c r="C30" s="86"/>
      <c r="D30" s="86"/>
      <c r="E30" s="86"/>
      <c r="F30" s="148"/>
      <c r="G30" s="150"/>
      <c r="H30" s="34"/>
      <c r="I30" s="34"/>
      <c r="J30" s="35"/>
      <c r="K30" s="35"/>
      <c r="L30" s="35"/>
      <c r="M30" s="35"/>
      <c r="N30" s="90"/>
    </row>
    <row r="31" spans="2:17" ht="22.5" customHeight="1">
      <c r="B31" s="86"/>
      <c r="C31" s="86"/>
      <c r="D31" s="86"/>
      <c r="E31" s="86"/>
      <c r="F31" s="148"/>
      <c r="G31" s="150"/>
      <c r="H31" s="34"/>
      <c r="I31" s="34"/>
      <c r="J31" s="35"/>
      <c r="K31" s="35"/>
      <c r="L31" s="35"/>
      <c r="M31" s="35"/>
      <c r="N31" s="90"/>
    </row>
    <row r="32" spans="2:17" ht="22.5" customHeight="1">
      <c r="B32" s="86"/>
      <c r="C32" s="86"/>
      <c r="D32" s="86"/>
      <c r="E32" s="86"/>
      <c r="F32" s="148"/>
      <c r="G32" s="150"/>
      <c r="H32" s="34"/>
      <c r="I32" s="34"/>
      <c r="J32" s="35"/>
      <c r="K32" s="35"/>
      <c r="L32" s="35"/>
      <c r="M32" s="35"/>
      <c r="N32" s="90"/>
    </row>
    <row r="33" spans="1:28" ht="22.5" customHeight="1">
      <c r="B33" s="86"/>
      <c r="C33" s="86"/>
      <c r="D33" s="86"/>
      <c r="E33" s="86"/>
      <c r="F33" s="148"/>
      <c r="G33" s="150"/>
      <c r="H33" s="34"/>
      <c r="I33" s="34"/>
      <c r="J33" s="35"/>
      <c r="K33" s="35"/>
      <c r="L33" s="35"/>
      <c r="M33" s="35"/>
      <c r="N33" s="90"/>
    </row>
    <row r="34" spans="1:28" ht="22.5" customHeight="1">
      <c r="B34" s="86"/>
      <c r="C34" s="86"/>
      <c r="D34" s="86"/>
      <c r="E34" s="86"/>
      <c r="F34" s="148"/>
      <c r="G34" s="150"/>
      <c r="H34" s="34"/>
      <c r="I34" s="34"/>
      <c r="J34" s="35"/>
      <c r="K34" s="35"/>
      <c r="L34" s="35"/>
      <c r="M34" s="35"/>
      <c r="N34" s="90"/>
    </row>
    <row r="35" spans="1:28" ht="22.5" customHeight="1">
      <c r="B35" s="86"/>
      <c r="C35" s="86"/>
      <c r="D35" s="86"/>
      <c r="E35" s="86"/>
      <c r="F35" s="148"/>
      <c r="G35" s="150"/>
      <c r="H35" s="34"/>
      <c r="I35" s="34"/>
      <c r="J35" s="35"/>
      <c r="K35" s="35"/>
      <c r="L35" s="35"/>
      <c r="M35" s="35"/>
      <c r="N35" s="90"/>
    </row>
    <row r="36" spans="1:28" ht="22.5" customHeight="1">
      <c r="B36" s="86"/>
      <c r="C36" s="86"/>
      <c r="D36" s="86"/>
      <c r="E36" s="86"/>
      <c r="F36" s="148"/>
      <c r="G36" s="150"/>
      <c r="H36" s="34"/>
      <c r="I36" s="34"/>
      <c r="J36" s="35"/>
      <c r="K36" s="35"/>
      <c r="L36" s="35"/>
      <c r="M36" s="35"/>
      <c r="N36" s="90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B37" s="86"/>
      <c r="C37" s="86"/>
      <c r="D37" s="86"/>
      <c r="E37" s="86"/>
      <c r="F37" s="148"/>
      <c r="G37" s="150"/>
      <c r="H37" s="34"/>
      <c r="I37" s="34"/>
      <c r="J37" s="35"/>
      <c r="K37" s="35"/>
      <c r="L37" s="35"/>
      <c r="M37" s="35"/>
      <c r="N37" s="90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s="26" customFormat="1" ht="22.5" customHeight="1">
      <c r="A38" s="27"/>
      <c r="B38" s="86"/>
      <c r="C38" s="86"/>
      <c r="D38" s="86"/>
      <c r="E38" s="86"/>
      <c r="F38" s="148"/>
      <c r="G38" s="150"/>
      <c r="H38" s="34"/>
      <c r="I38" s="34"/>
      <c r="J38" s="35"/>
      <c r="K38" s="35"/>
      <c r="L38" s="35"/>
      <c r="M38" s="35"/>
      <c r="N38" s="90"/>
      <c r="O38" s="27"/>
    </row>
    <row r="39" spans="1:28" s="26" customFormat="1" ht="22.5" customHeight="1">
      <c r="B39" s="86"/>
      <c r="C39" s="86"/>
      <c r="D39" s="86"/>
      <c r="E39" s="86"/>
      <c r="F39" s="148"/>
      <c r="G39" s="150"/>
      <c r="H39" s="34"/>
      <c r="I39" s="34"/>
      <c r="J39" s="35"/>
      <c r="K39" s="35"/>
      <c r="L39" s="35"/>
      <c r="M39" s="35"/>
      <c r="N39" s="90"/>
    </row>
    <row r="40" spans="1:28" s="26" customFormat="1" ht="22.5" customHeight="1">
      <c r="B40" s="86"/>
      <c r="C40" s="86"/>
      <c r="D40" s="86"/>
      <c r="E40" s="86"/>
      <c r="F40" s="148"/>
      <c r="G40" s="150"/>
      <c r="H40" s="34"/>
      <c r="I40" s="34"/>
      <c r="J40" s="35"/>
      <c r="K40" s="35"/>
      <c r="L40" s="35"/>
      <c r="M40" s="35"/>
      <c r="N40" s="9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s="26" customFormat="1" ht="22.5" customHeight="1">
      <c r="B41" s="86"/>
      <c r="C41" s="86"/>
      <c r="D41" s="86"/>
      <c r="E41" s="86"/>
      <c r="F41" s="148"/>
      <c r="G41" s="150"/>
      <c r="H41" s="34"/>
      <c r="I41" s="34"/>
      <c r="J41" s="35"/>
      <c r="K41" s="35"/>
      <c r="L41" s="35"/>
      <c r="M41" s="35"/>
      <c r="N41" s="90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2.5" customHeight="1">
      <c r="B42" s="89"/>
      <c r="C42" s="89"/>
      <c r="D42" s="89"/>
      <c r="E42" s="89"/>
      <c r="F42" s="185"/>
      <c r="G42" s="187"/>
      <c r="H42" s="36"/>
      <c r="I42" s="36"/>
      <c r="J42" s="37"/>
      <c r="K42" s="37"/>
      <c r="L42" s="37"/>
      <c r="M42" s="37"/>
      <c r="N42" s="91"/>
    </row>
    <row r="43" spans="1:28" ht="23.25" customHeight="1">
      <c r="B43" s="194" t="s">
        <v>30</v>
      </c>
      <c r="C43" s="195"/>
      <c r="D43" s="195"/>
      <c r="E43" s="104">
        <v>1859</v>
      </c>
      <c r="F43" s="196"/>
      <c r="G43" s="196"/>
      <c r="H43" s="82">
        <f>H44/8*E43</f>
        <v>0</v>
      </c>
      <c r="I43" s="82">
        <f>I44/4*293</f>
        <v>0</v>
      </c>
      <c r="J43" s="82">
        <f>SUM(J6:J42)</f>
        <v>0</v>
      </c>
      <c r="K43" s="82">
        <f>SUM(K6:K42)</f>
        <v>0</v>
      </c>
      <c r="L43" s="82">
        <f>SUM(L6:L42)</f>
        <v>0</v>
      </c>
      <c r="M43" s="82">
        <f>SUM(M6:M42)</f>
        <v>0</v>
      </c>
      <c r="N43" s="83"/>
    </row>
    <row r="44" spans="1:28" ht="15" customHeight="1">
      <c r="B44" s="51"/>
      <c r="C44" s="51"/>
      <c r="D44" s="51"/>
      <c r="E44" s="84"/>
      <c r="F44" s="22"/>
      <c r="G44" s="22"/>
      <c r="H44" s="56">
        <f>SUM(H6:H42)</f>
        <v>0</v>
      </c>
      <c r="I44" s="56">
        <f>SUM(I6:I42)</f>
        <v>0</v>
      </c>
      <c r="J44" s="82"/>
      <c r="K44" s="82"/>
      <c r="L44" s="82"/>
      <c r="M44" s="82"/>
      <c r="N44" s="83"/>
    </row>
    <row r="45" spans="1:28" ht="6.75" customHeight="1"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</row>
    <row r="46" spans="1:28" ht="27" customHeight="1">
      <c r="B46" s="190" t="s">
        <v>57</v>
      </c>
      <c r="C46" s="190"/>
      <c r="D46" s="190"/>
      <c r="E46" s="190"/>
      <c r="F46" s="190"/>
      <c r="G46" s="31"/>
      <c r="H46" s="32"/>
      <c r="I46" s="32"/>
      <c r="J46" s="32"/>
      <c r="K46" s="32"/>
      <c r="L46" s="31"/>
      <c r="M46" s="31"/>
      <c r="N46" s="33" t="s">
        <v>0</v>
      </c>
    </row>
    <row r="47" spans="1:28" s="100" customFormat="1" ht="18" customHeight="1"/>
    <row r="48" spans="1:28" s="62" customFormat="1" ht="18" customHeight="1">
      <c r="B48" s="105" t="s">
        <v>211</v>
      </c>
    </row>
    <row r="49" spans="2:2" s="62" customFormat="1" ht="18" customHeight="1">
      <c r="B49" s="105" t="s">
        <v>268</v>
      </c>
    </row>
    <row r="50" spans="2:2" s="62" customFormat="1" ht="18" customHeight="1">
      <c r="B50" s="105" t="s">
        <v>55</v>
      </c>
    </row>
    <row r="51" spans="2:2" s="62" customFormat="1" ht="18" customHeight="1">
      <c r="B51" s="105" t="s">
        <v>242</v>
      </c>
    </row>
    <row r="52" spans="2:2" s="62" customFormat="1" ht="18" customHeight="1">
      <c r="B52" s="105" t="s">
        <v>76</v>
      </c>
    </row>
    <row r="53" spans="2:2" s="62" customFormat="1" ht="18" customHeight="1">
      <c r="B53" s="105" t="s">
        <v>77</v>
      </c>
    </row>
    <row r="54" spans="2:2" s="62" customFormat="1" ht="18" customHeight="1">
      <c r="B54" s="105" t="s">
        <v>245</v>
      </c>
    </row>
    <row r="55" spans="2:2" s="62" customFormat="1" ht="18" customHeight="1">
      <c r="B55" s="120" t="s">
        <v>283</v>
      </c>
    </row>
    <row r="56" spans="2:2" s="62" customFormat="1" ht="18" customHeight="1">
      <c r="B56" s="105" t="s">
        <v>78</v>
      </c>
    </row>
    <row r="57" spans="2:2" s="62" customFormat="1" ht="18" customHeight="1">
      <c r="B57" s="105" t="s">
        <v>79</v>
      </c>
    </row>
    <row r="58" spans="2:2" s="62" customFormat="1" ht="18" customHeight="1">
      <c r="B58" s="105" t="s">
        <v>80</v>
      </c>
    </row>
    <row r="59" spans="2:2" s="62" customFormat="1" ht="18" customHeight="1">
      <c r="B59" s="105" t="s">
        <v>81</v>
      </c>
    </row>
    <row r="60" spans="2:2" s="62" customFormat="1" ht="18" customHeight="1">
      <c r="B60" s="105" t="s">
        <v>82</v>
      </c>
    </row>
    <row r="61" spans="2:2" s="62" customFormat="1" ht="18" customHeight="1">
      <c r="B61" s="105" t="s">
        <v>235</v>
      </c>
    </row>
    <row r="62" spans="2:2" s="62" customFormat="1" ht="18" customHeight="1">
      <c r="B62" s="105" t="s">
        <v>83</v>
      </c>
    </row>
    <row r="63" spans="2:2" s="62" customFormat="1" ht="18" customHeight="1">
      <c r="B63" s="105" t="s">
        <v>212</v>
      </c>
    </row>
    <row r="64" spans="2:2" s="62" customFormat="1" ht="18" customHeight="1">
      <c r="B64" s="105" t="s">
        <v>84</v>
      </c>
    </row>
    <row r="65" spans="2:2" s="62" customFormat="1" ht="18" customHeight="1">
      <c r="B65" s="105" t="s">
        <v>85</v>
      </c>
    </row>
    <row r="66" spans="2:2" s="62" customFormat="1" ht="18" customHeight="1">
      <c r="B66" s="105" t="s">
        <v>280</v>
      </c>
    </row>
    <row r="67" spans="2:2" s="62" customFormat="1" ht="18" customHeight="1">
      <c r="B67" s="105" t="s">
        <v>259</v>
      </c>
    </row>
    <row r="68" spans="2:2" s="62" customFormat="1" ht="18" customHeight="1">
      <c r="B68" s="105" t="s">
        <v>86</v>
      </c>
    </row>
    <row r="69" spans="2:2" s="62" customFormat="1" ht="18" customHeight="1">
      <c r="B69" s="105" t="s">
        <v>87</v>
      </c>
    </row>
    <row r="70" spans="2:2" s="62" customFormat="1" ht="18" customHeight="1">
      <c r="B70" s="105" t="s">
        <v>276</v>
      </c>
    </row>
    <row r="71" spans="2:2" s="62" customFormat="1" ht="18" customHeight="1">
      <c r="B71" s="105" t="s">
        <v>88</v>
      </c>
    </row>
    <row r="72" spans="2:2" s="62" customFormat="1" ht="18" customHeight="1">
      <c r="B72" s="105" t="s">
        <v>213</v>
      </c>
    </row>
    <row r="73" spans="2:2" s="62" customFormat="1" ht="18" customHeight="1">
      <c r="B73" s="105" t="s">
        <v>89</v>
      </c>
    </row>
    <row r="74" spans="2:2" s="62" customFormat="1" ht="18" customHeight="1">
      <c r="B74" s="105" t="s">
        <v>90</v>
      </c>
    </row>
    <row r="75" spans="2:2" s="62" customFormat="1" ht="18" customHeight="1">
      <c r="B75" s="105" t="s">
        <v>91</v>
      </c>
    </row>
    <row r="76" spans="2:2" s="62" customFormat="1" ht="18" customHeight="1">
      <c r="B76" s="105" t="s">
        <v>92</v>
      </c>
    </row>
    <row r="77" spans="2:2" s="62" customFormat="1" ht="18" customHeight="1">
      <c r="B77" s="105" t="s">
        <v>93</v>
      </c>
    </row>
    <row r="78" spans="2:2" s="62" customFormat="1" ht="18" customHeight="1">
      <c r="B78" s="105" t="s">
        <v>94</v>
      </c>
    </row>
    <row r="79" spans="2:2" s="62" customFormat="1" ht="18" customHeight="1">
      <c r="B79" s="105" t="s">
        <v>255</v>
      </c>
    </row>
    <row r="80" spans="2:2" s="62" customFormat="1" ht="18" customHeight="1">
      <c r="B80" s="105" t="s">
        <v>257</v>
      </c>
    </row>
    <row r="81" spans="2:2" s="62" customFormat="1" ht="18" customHeight="1">
      <c r="B81" s="105" t="s">
        <v>256</v>
      </c>
    </row>
    <row r="82" spans="2:2" s="62" customFormat="1" ht="18" customHeight="1">
      <c r="B82" s="105" t="s">
        <v>95</v>
      </c>
    </row>
    <row r="83" spans="2:2" s="62" customFormat="1" ht="18" customHeight="1">
      <c r="B83" s="105" t="s">
        <v>96</v>
      </c>
    </row>
    <row r="84" spans="2:2" s="62" customFormat="1" ht="18" customHeight="1">
      <c r="B84" s="105" t="s">
        <v>97</v>
      </c>
    </row>
    <row r="85" spans="2:2" s="62" customFormat="1" ht="18" customHeight="1">
      <c r="B85" s="105" t="s">
        <v>270</v>
      </c>
    </row>
    <row r="86" spans="2:2" s="62" customFormat="1" ht="18" customHeight="1">
      <c r="B86" s="105" t="s">
        <v>98</v>
      </c>
    </row>
    <row r="87" spans="2:2" s="62" customFormat="1" ht="18" customHeight="1">
      <c r="B87" s="120" t="s">
        <v>289</v>
      </c>
    </row>
    <row r="88" spans="2:2" s="62" customFormat="1" ht="18" customHeight="1">
      <c r="B88" s="120" t="s">
        <v>287</v>
      </c>
    </row>
    <row r="89" spans="2:2" s="62" customFormat="1" ht="18" customHeight="1">
      <c r="B89" s="105" t="s">
        <v>99</v>
      </c>
    </row>
    <row r="90" spans="2:2" s="62" customFormat="1" ht="18" customHeight="1">
      <c r="B90" s="105" t="s">
        <v>100</v>
      </c>
    </row>
    <row r="91" spans="2:2" s="62" customFormat="1" ht="18" customHeight="1">
      <c r="B91" s="105" t="s">
        <v>101</v>
      </c>
    </row>
    <row r="92" spans="2:2" s="62" customFormat="1" ht="18" customHeight="1">
      <c r="B92" s="105" t="s">
        <v>102</v>
      </c>
    </row>
    <row r="93" spans="2:2" s="62" customFormat="1" ht="18" customHeight="1">
      <c r="B93" s="105" t="s">
        <v>249</v>
      </c>
    </row>
    <row r="94" spans="2:2" s="62" customFormat="1" ht="18" customHeight="1">
      <c r="B94" s="105" t="s">
        <v>243</v>
      </c>
    </row>
    <row r="95" spans="2:2" s="62" customFormat="1" ht="18" customHeight="1">
      <c r="B95" s="105" t="s">
        <v>103</v>
      </c>
    </row>
    <row r="96" spans="2:2" s="62" customFormat="1" ht="18" customHeight="1">
      <c r="B96" s="105" t="s">
        <v>273</v>
      </c>
    </row>
    <row r="97" spans="2:2" s="62" customFormat="1" ht="18" customHeight="1">
      <c r="B97" s="105" t="s">
        <v>104</v>
      </c>
    </row>
    <row r="98" spans="2:2" s="62" customFormat="1" ht="18" customHeight="1">
      <c r="B98" s="105" t="s">
        <v>210</v>
      </c>
    </row>
    <row r="99" spans="2:2" s="62" customFormat="1" ht="18" customHeight="1">
      <c r="B99" s="105" t="s">
        <v>271</v>
      </c>
    </row>
    <row r="100" spans="2:2" s="62" customFormat="1" ht="18" customHeight="1">
      <c r="B100" s="105" t="s">
        <v>105</v>
      </c>
    </row>
    <row r="101" spans="2:2" s="62" customFormat="1" ht="18" customHeight="1">
      <c r="B101" s="105" t="s">
        <v>278</v>
      </c>
    </row>
    <row r="102" spans="2:2" s="62" customFormat="1" ht="18" customHeight="1">
      <c r="B102" s="105" t="s">
        <v>106</v>
      </c>
    </row>
    <row r="103" spans="2:2" s="62" customFormat="1" ht="18" customHeight="1">
      <c r="B103" s="105" t="s">
        <v>107</v>
      </c>
    </row>
    <row r="104" spans="2:2" s="62" customFormat="1" ht="18" customHeight="1">
      <c r="B104" s="105" t="s">
        <v>108</v>
      </c>
    </row>
    <row r="105" spans="2:2" s="62" customFormat="1" ht="18" customHeight="1">
      <c r="B105" s="105" t="s">
        <v>216</v>
      </c>
    </row>
    <row r="106" spans="2:2" s="62" customFormat="1" ht="18" customHeight="1">
      <c r="B106" s="120" t="s">
        <v>286</v>
      </c>
    </row>
    <row r="107" spans="2:2" s="62" customFormat="1" ht="18" customHeight="1">
      <c r="B107" s="120" t="s">
        <v>284</v>
      </c>
    </row>
    <row r="108" spans="2:2" s="62" customFormat="1" ht="18" customHeight="1">
      <c r="B108" s="105" t="s">
        <v>109</v>
      </c>
    </row>
    <row r="109" spans="2:2" s="62" customFormat="1" ht="18" customHeight="1">
      <c r="B109" s="105" t="s">
        <v>110</v>
      </c>
    </row>
    <row r="110" spans="2:2" s="62" customFormat="1" ht="18" customHeight="1">
      <c r="B110" s="105" t="s">
        <v>111</v>
      </c>
    </row>
    <row r="111" spans="2:2" s="62" customFormat="1" ht="18" customHeight="1">
      <c r="B111" s="105" t="s">
        <v>264</v>
      </c>
    </row>
    <row r="112" spans="2:2" s="62" customFormat="1" ht="18" customHeight="1">
      <c r="B112" s="105" t="s">
        <v>112</v>
      </c>
    </row>
    <row r="113" spans="2:2" s="62" customFormat="1" ht="18" customHeight="1">
      <c r="B113" s="105" t="s">
        <v>244</v>
      </c>
    </row>
    <row r="114" spans="2:2" s="62" customFormat="1" ht="18" customHeight="1">
      <c r="B114" s="105" t="s">
        <v>208</v>
      </c>
    </row>
    <row r="115" spans="2:2" s="62" customFormat="1" ht="18" customHeight="1">
      <c r="B115" s="105" t="s">
        <v>113</v>
      </c>
    </row>
    <row r="116" spans="2:2" s="62" customFormat="1" ht="18" customHeight="1">
      <c r="B116" s="105" t="s">
        <v>261</v>
      </c>
    </row>
    <row r="117" spans="2:2" s="62" customFormat="1" ht="18" customHeight="1">
      <c r="B117" s="105" t="s">
        <v>251</v>
      </c>
    </row>
    <row r="118" spans="2:2" s="62" customFormat="1" ht="18" customHeight="1">
      <c r="B118" s="105" t="s">
        <v>114</v>
      </c>
    </row>
    <row r="119" spans="2:2" s="62" customFormat="1" ht="18" customHeight="1">
      <c r="B119" s="105" t="s">
        <v>115</v>
      </c>
    </row>
    <row r="120" spans="2:2" s="62" customFormat="1" ht="18" customHeight="1">
      <c r="B120" s="105" t="s">
        <v>239</v>
      </c>
    </row>
    <row r="121" spans="2:2" s="62" customFormat="1" ht="18" customHeight="1">
      <c r="B121" s="105" t="s">
        <v>116</v>
      </c>
    </row>
    <row r="122" spans="2:2" s="62" customFormat="1" ht="18" customHeight="1">
      <c r="B122" s="105" t="s">
        <v>215</v>
      </c>
    </row>
    <row r="123" spans="2:2" s="62" customFormat="1" ht="18" customHeight="1">
      <c r="B123" s="105" t="s">
        <v>117</v>
      </c>
    </row>
    <row r="124" spans="2:2" s="62" customFormat="1" ht="18" customHeight="1">
      <c r="B124" s="105" t="s">
        <v>209</v>
      </c>
    </row>
    <row r="125" spans="2:2" s="62" customFormat="1" ht="18" customHeight="1">
      <c r="B125" s="105" t="s">
        <v>118</v>
      </c>
    </row>
    <row r="126" spans="2:2" s="62" customFormat="1" ht="18" customHeight="1">
      <c r="B126" s="105" t="s">
        <v>119</v>
      </c>
    </row>
    <row r="127" spans="2:2" s="62" customFormat="1" ht="18" customHeight="1">
      <c r="B127" s="105" t="s">
        <v>120</v>
      </c>
    </row>
    <row r="128" spans="2:2" s="62" customFormat="1" ht="18" customHeight="1">
      <c r="B128" s="105" t="s">
        <v>262</v>
      </c>
    </row>
    <row r="129" spans="2:2" s="62" customFormat="1" ht="18" customHeight="1">
      <c r="B129" s="105" t="s">
        <v>248</v>
      </c>
    </row>
    <row r="130" spans="2:2" s="62" customFormat="1" ht="18" customHeight="1">
      <c r="B130" s="105" t="s">
        <v>121</v>
      </c>
    </row>
    <row r="131" spans="2:2" s="62" customFormat="1" ht="18" customHeight="1">
      <c r="B131" s="105" t="s">
        <v>122</v>
      </c>
    </row>
    <row r="132" spans="2:2" s="62" customFormat="1" ht="18" customHeight="1">
      <c r="B132" s="105" t="s">
        <v>123</v>
      </c>
    </row>
    <row r="133" spans="2:2" s="62" customFormat="1" ht="18" customHeight="1">
      <c r="B133" s="105" t="s">
        <v>246</v>
      </c>
    </row>
    <row r="134" spans="2:2" s="62" customFormat="1" ht="18" customHeight="1">
      <c r="B134" s="105" t="s">
        <v>124</v>
      </c>
    </row>
    <row r="135" spans="2:2" s="62" customFormat="1" ht="18" customHeight="1">
      <c r="B135" s="105" t="s">
        <v>277</v>
      </c>
    </row>
    <row r="136" spans="2:2" s="62" customFormat="1" ht="18" customHeight="1">
      <c r="B136" s="105" t="s">
        <v>125</v>
      </c>
    </row>
    <row r="137" spans="2:2" s="62" customFormat="1" ht="18" customHeight="1">
      <c r="B137" s="105" t="s">
        <v>126</v>
      </c>
    </row>
    <row r="138" spans="2:2" s="62" customFormat="1" ht="18" customHeight="1">
      <c r="B138" s="105" t="s">
        <v>127</v>
      </c>
    </row>
    <row r="139" spans="2:2" s="62" customFormat="1" ht="18" customHeight="1">
      <c r="B139" s="105" t="s">
        <v>128</v>
      </c>
    </row>
    <row r="140" spans="2:2" s="62" customFormat="1" ht="18" customHeight="1">
      <c r="B140" s="105" t="s">
        <v>288</v>
      </c>
    </row>
    <row r="141" spans="2:2" s="62" customFormat="1" ht="18" customHeight="1">
      <c r="B141" s="105" t="s">
        <v>129</v>
      </c>
    </row>
    <row r="142" spans="2:2" s="62" customFormat="1" ht="18" customHeight="1">
      <c r="B142" s="105" t="s">
        <v>130</v>
      </c>
    </row>
    <row r="143" spans="2:2" s="62" customFormat="1" ht="18" customHeight="1">
      <c r="B143" s="105" t="s">
        <v>131</v>
      </c>
    </row>
    <row r="144" spans="2:2" s="62" customFormat="1" ht="18" customHeight="1">
      <c r="B144" s="105" t="s">
        <v>132</v>
      </c>
    </row>
    <row r="145" spans="2:2" s="62" customFormat="1" ht="18" customHeight="1">
      <c r="B145" s="105" t="s">
        <v>279</v>
      </c>
    </row>
    <row r="146" spans="2:2" s="62" customFormat="1" ht="18" customHeight="1">
      <c r="B146" s="105" t="s">
        <v>133</v>
      </c>
    </row>
    <row r="147" spans="2:2" s="62" customFormat="1" ht="18" customHeight="1">
      <c r="B147" s="105" t="s">
        <v>134</v>
      </c>
    </row>
    <row r="148" spans="2:2" s="62" customFormat="1" ht="18" customHeight="1">
      <c r="B148" s="105" t="s">
        <v>275</v>
      </c>
    </row>
    <row r="149" spans="2:2" s="62" customFormat="1" ht="18" customHeight="1">
      <c r="B149" s="105" t="s">
        <v>135</v>
      </c>
    </row>
    <row r="150" spans="2:2" s="62" customFormat="1" ht="18" customHeight="1">
      <c r="B150" s="105" t="s">
        <v>136</v>
      </c>
    </row>
    <row r="151" spans="2:2" s="62" customFormat="1" ht="18" customHeight="1">
      <c r="B151" s="105" t="s">
        <v>137</v>
      </c>
    </row>
    <row r="152" spans="2:2" s="62" customFormat="1" ht="18" customHeight="1">
      <c r="B152" s="105" t="s">
        <v>138</v>
      </c>
    </row>
    <row r="153" spans="2:2" s="62" customFormat="1" ht="18" customHeight="1">
      <c r="B153" s="105" t="s">
        <v>139</v>
      </c>
    </row>
    <row r="154" spans="2:2" s="62" customFormat="1" ht="18" customHeight="1">
      <c r="B154" s="105" t="s">
        <v>140</v>
      </c>
    </row>
    <row r="155" spans="2:2" s="62" customFormat="1" ht="18" customHeight="1">
      <c r="B155" s="105" t="s">
        <v>141</v>
      </c>
    </row>
    <row r="156" spans="2:2" s="62" customFormat="1" ht="18" customHeight="1">
      <c r="B156" s="105" t="s">
        <v>142</v>
      </c>
    </row>
    <row r="157" spans="2:2" s="62" customFormat="1" ht="18" customHeight="1">
      <c r="B157" s="105" t="s">
        <v>143</v>
      </c>
    </row>
    <row r="158" spans="2:2" s="62" customFormat="1" ht="18" customHeight="1">
      <c r="B158" s="105" t="s">
        <v>144</v>
      </c>
    </row>
    <row r="159" spans="2:2" s="62" customFormat="1" ht="18" customHeight="1">
      <c r="B159" s="105" t="s">
        <v>145</v>
      </c>
    </row>
    <row r="160" spans="2:2" s="62" customFormat="1" ht="18" customHeight="1">
      <c r="B160" s="105" t="s">
        <v>146</v>
      </c>
    </row>
    <row r="161" spans="2:2" s="62" customFormat="1" ht="18" customHeight="1">
      <c r="B161" s="105" t="s">
        <v>147</v>
      </c>
    </row>
    <row r="162" spans="2:2" s="62" customFormat="1" ht="18" customHeight="1">
      <c r="B162" s="105" t="s">
        <v>148</v>
      </c>
    </row>
    <row r="163" spans="2:2" s="62" customFormat="1" ht="18" customHeight="1">
      <c r="B163" s="105" t="s">
        <v>149</v>
      </c>
    </row>
    <row r="164" spans="2:2" s="62" customFormat="1" ht="18" customHeight="1">
      <c r="B164" s="105" t="s">
        <v>150</v>
      </c>
    </row>
    <row r="165" spans="2:2" s="62" customFormat="1" ht="18" customHeight="1">
      <c r="B165" s="105" t="s">
        <v>151</v>
      </c>
    </row>
    <row r="166" spans="2:2" s="62" customFormat="1" ht="18" customHeight="1">
      <c r="B166" s="105" t="s">
        <v>152</v>
      </c>
    </row>
    <row r="167" spans="2:2" s="62" customFormat="1" ht="18" customHeight="1">
      <c r="B167" s="105" t="s">
        <v>260</v>
      </c>
    </row>
    <row r="168" spans="2:2" s="62" customFormat="1" ht="18" customHeight="1">
      <c r="B168" s="105" t="s">
        <v>153</v>
      </c>
    </row>
    <row r="169" spans="2:2" s="62" customFormat="1" ht="18" customHeight="1">
      <c r="B169" s="105" t="s">
        <v>154</v>
      </c>
    </row>
    <row r="170" spans="2:2" s="62" customFormat="1" ht="18" customHeight="1">
      <c r="B170" s="105" t="s">
        <v>155</v>
      </c>
    </row>
    <row r="171" spans="2:2" s="62" customFormat="1" ht="18" customHeight="1">
      <c r="B171" s="105" t="s">
        <v>241</v>
      </c>
    </row>
    <row r="172" spans="2:2" s="62" customFormat="1" ht="18" customHeight="1">
      <c r="B172" s="105" t="s">
        <v>156</v>
      </c>
    </row>
    <row r="173" spans="2:2" s="62" customFormat="1" ht="18" customHeight="1">
      <c r="B173" s="105" t="s">
        <v>157</v>
      </c>
    </row>
    <row r="174" spans="2:2" s="62" customFormat="1" ht="18" customHeight="1">
      <c r="B174" s="105" t="s">
        <v>158</v>
      </c>
    </row>
    <row r="175" spans="2:2" s="62" customFormat="1" ht="18" customHeight="1">
      <c r="B175" s="105" t="s">
        <v>159</v>
      </c>
    </row>
    <row r="176" spans="2:2" s="62" customFormat="1" ht="18" customHeight="1">
      <c r="B176" s="105" t="s">
        <v>160</v>
      </c>
    </row>
    <row r="177" spans="2:2" s="62" customFormat="1" ht="18" customHeight="1">
      <c r="B177" s="105" t="s">
        <v>161</v>
      </c>
    </row>
    <row r="178" spans="2:2" s="62" customFormat="1" ht="18" customHeight="1">
      <c r="B178" s="105" t="s">
        <v>162</v>
      </c>
    </row>
    <row r="179" spans="2:2" s="62" customFormat="1" ht="18" customHeight="1">
      <c r="B179" s="105" t="s">
        <v>266</v>
      </c>
    </row>
    <row r="180" spans="2:2" s="62" customFormat="1" ht="18" customHeight="1">
      <c r="B180" s="105" t="s">
        <v>163</v>
      </c>
    </row>
    <row r="181" spans="2:2" s="62" customFormat="1" ht="18" customHeight="1">
      <c r="B181" s="105" t="s">
        <v>164</v>
      </c>
    </row>
    <row r="182" spans="2:2" s="62" customFormat="1" ht="18" customHeight="1">
      <c r="B182" s="105" t="s">
        <v>165</v>
      </c>
    </row>
    <row r="183" spans="2:2" s="62" customFormat="1" ht="18" customHeight="1">
      <c r="B183" s="105" t="s">
        <v>166</v>
      </c>
    </row>
    <row r="184" spans="2:2" s="62" customFormat="1" ht="18" customHeight="1">
      <c r="B184" s="105" t="s">
        <v>263</v>
      </c>
    </row>
    <row r="185" spans="2:2" s="62" customFormat="1" ht="18" customHeight="1">
      <c r="B185" s="105" t="s">
        <v>167</v>
      </c>
    </row>
    <row r="186" spans="2:2" s="62" customFormat="1" ht="18" customHeight="1">
      <c r="B186" s="105" t="s">
        <v>254</v>
      </c>
    </row>
    <row r="187" spans="2:2" s="62" customFormat="1" ht="18" customHeight="1">
      <c r="B187" s="105" t="s">
        <v>168</v>
      </c>
    </row>
    <row r="188" spans="2:2" s="62" customFormat="1" ht="18" customHeight="1">
      <c r="B188" s="105" t="s">
        <v>214</v>
      </c>
    </row>
    <row r="189" spans="2:2" s="62" customFormat="1" ht="18" customHeight="1">
      <c r="B189" s="105" t="s">
        <v>169</v>
      </c>
    </row>
    <row r="190" spans="2:2" s="62" customFormat="1" ht="18" customHeight="1">
      <c r="B190" s="105" t="s">
        <v>240</v>
      </c>
    </row>
    <row r="191" spans="2:2" s="62" customFormat="1" ht="18" customHeight="1">
      <c r="B191" s="105" t="s">
        <v>170</v>
      </c>
    </row>
    <row r="192" spans="2:2" s="62" customFormat="1" ht="18" customHeight="1">
      <c r="B192" s="105" t="s">
        <v>253</v>
      </c>
    </row>
    <row r="193" spans="2:2" s="62" customFormat="1" ht="18" customHeight="1">
      <c r="B193" s="105" t="s">
        <v>250</v>
      </c>
    </row>
    <row r="194" spans="2:2" s="62" customFormat="1" ht="18" customHeight="1">
      <c r="B194" s="105" t="s">
        <v>207</v>
      </c>
    </row>
    <row r="195" spans="2:2" s="62" customFormat="1" ht="18" customHeight="1">
      <c r="B195" s="105" t="s">
        <v>171</v>
      </c>
    </row>
    <row r="196" spans="2:2" s="62" customFormat="1" ht="18" customHeight="1">
      <c r="B196" s="105" t="s">
        <v>172</v>
      </c>
    </row>
    <row r="197" spans="2:2" s="62" customFormat="1" ht="18" customHeight="1">
      <c r="B197" s="105" t="s">
        <v>281</v>
      </c>
    </row>
    <row r="198" spans="2:2" s="62" customFormat="1" ht="18" customHeight="1">
      <c r="B198" s="105" t="s">
        <v>247</v>
      </c>
    </row>
    <row r="199" spans="2:2" s="62" customFormat="1" ht="18" customHeight="1">
      <c r="B199" s="105" t="s">
        <v>206</v>
      </c>
    </row>
    <row r="200" spans="2:2" s="62" customFormat="1" ht="18" customHeight="1">
      <c r="B200" s="105" t="s">
        <v>173</v>
      </c>
    </row>
    <row r="201" spans="2:2" s="62" customFormat="1" ht="18" customHeight="1">
      <c r="B201" s="105" t="s">
        <v>237</v>
      </c>
    </row>
    <row r="202" spans="2:2" s="62" customFormat="1" ht="18" customHeight="1">
      <c r="B202" s="105" t="s">
        <v>174</v>
      </c>
    </row>
    <row r="203" spans="2:2" s="62" customFormat="1" ht="18" customHeight="1">
      <c r="B203" s="105" t="s">
        <v>175</v>
      </c>
    </row>
    <row r="204" spans="2:2" s="62" customFormat="1" ht="18" customHeight="1">
      <c r="B204" s="105" t="s">
        <v>176</v>
      </c>
    </row>
    <row r="205" spans="2:2" s="62" customFormat="1" ht="18" customHeight="1">
      <c r="B205" s="105" t="s">
        <v>258</v>
      </c>
    </row>
    <row r="206" spans="2:2" s="62" customFormat="1" ht="18" customHeight="1">
      <c r="B206" s="105" t="s">
        <v>269</v>
      </c>
    </row>
    <row r="207" spans="2:2" s="62" customFormat="1" ht="18" customHeight="1">
      <c r="B207" s="105" t="s">
        <v>205</v>
      </c>
    </row>
    <row r="208" spans="2:2" s="62" customFormat="1" ht="18" customHeight="1">
      <c r="B208" s="105" t="s">
        <v>177</v>
      </c>
    </row>
    <row r="209" spans="2:2" s="62" customFormat="1" ht="18" customHeight="1">
      <c r="B209" s="105" t="s">
        <v>265</v>
      </c>
    </row>
    <row r="210" spans="2:2" s="62" customFormat="1" ht="18" customHeight="1">
      <c r="B210" s="105" t="s">
        <v>178</v>
      </c>
    </row>
    <row r="211" spans="2:2" s="62" customFormat="1" ht="18" customHeight="1">
      <c r="B211" s="105" t="s">
        <v>179</v>
      </c>
    </row>
    <row r="212" spans="2:2" s="62" customFormat="1" ht="18" customHeight="1">
      <c r="B212" s="105" t="s">
        <v>180</v>
      </c>
    </row>
    <row r="213" spans="2:2" s="62" customFormat="1" ht="18" customHeight="1">
      <c r="B213" s="105" t="s">
        <v>181</v>
      </c>
    </row>
    <row r="214" spans="2:2" s="62" customFormat="1" ht="18" customHeight="1">
      <c r="B214" s="105" t="s">
        <v>182</v>
      </c>
    </row>
    <row r="215" spans="2:2" s="62" customFormat="1" ht="18" customHeight="1">
      <c r="B215" s="105" t="s">
        <v>183</v>
      </c>
    </row>
    <row r="216" spans="2:2" s="62" customFormat="1" ht="18" customHeight="1">
      <c r="B216" s="105" t="s">
        <v>184</v>
      </c>
    </row>
    <row r="217" spans="2:2" s="62" customFormat="1" ht="18" customHeight="1">
      <c r="B217" s="105" t="s">
        <v>185</v>
      </c>
    </row>
    <row r="218" spans="2:2" s="62" customFormat="1" ht="18" customHeight="1">
      <c r="B218" s="105" t="s">
        <v>186</v>
      </c>
    </row>
    <row r="219" spans="2:2" s="62" customFormat="1" ht="18" customHeight="1">
      <c r="B219" s="105" t="s">
        <v>282</v>
      </c>
    </row>
    <row r="220" spans="2:2" s="62" customFormat="1" ht="18" customHeight="1">
      <c r="B220" s="105" t="s">
        <v>274</v>
      </c>
    </row>
    <row r="221" spans="2:2" s="62" customFormat="1" ht="18" customHeight="1">
      <c r="B221" s="105" t="s">
        <v>217</v>
      </c>
    </row>
    <row r="222" spans="2:2" s="62" customFormat="1" ht="18" customHeight="1">
      <c r="B222" s="105" t="s">
        <v>187</v>
      </c>
    </row>
    <row r="223" spans="2:2" s="62" customFormat="1" ht="18" customHeight="1">
      <c r="B223" s="105" t="s">
        <v>238</v>
      </c>
    </row>
    <row r="224" spans="2:2" s="62" customFormat="1" ht="18" customHeight="1">
      <c r="B224" s="105" t="s">
        <v>188</v>
      </c>
    </row>
    <row r="225" spans="2:2" s="62" customFormat="1" ht="18" customHeight="1">
      <c r="B225" s="105" t="s">
        <v>272</v>
      </c>
    </row>
    <row r="226" spans="2:2" s="62" customFormat="1" ht="18" customHeight="1">
      <c r="B226" s="105" t="s">
        <v>189</v>
      </c>
    </row>
    <row r="227" spans="2:2" s="62" customFormat="1" ht="18" customHeight="1">
      <c r="B227" s="105" t="s">
        <v>190</v>
      </c>
    </row>
    <row r="228" spans="2:2" s="62" customFormat="1" ht="18" customHeight="1">
      <c r="B228" s="105" t="s">
        <v>236</v>
      </c>
    </row>
    <row r="229" spans="2:2" s="62" customFormat="1" ht="18" customHeight="1">
      <c r="B229" s="105" t="s">
        <v>191</v>
      </c>
    </row>
    <row r="230" spans="2:2" s="62" customFormat="1" ht="18" customHeight="1">
      <c r="B230" s="105" t="s">
        <v>252</v>
      </c>
    </row>
    <row r="231" spans="2:2" s="62" customFormat="1" ht="18" customHeight="1">
      <c r="B231" s="105" t="s">
        <v>192</v>
      </c>
    </row>
    <row r="232" spans="2:2" s="62" customFormat="1" ht="18" customHeight="1">
      <c r="B232" s="105" t="s">
        <v>193</v>
      </c>
    </row>
    <row r="233" spans="2:2" s="62" customFormat="1" ht="18" customHeight="1">
      <c r="B233" s="105" t="s">
        <v>194</v>
      </c>
    </row>
    <row r="234" spans="2:2" s="62" customFormat="1" ht="18" customHeight="1">
      <c r="B234" s="105" t="s">
        <v>195</v>
      </c>
    </row>
    <row r="235" spans="2:2" s="62" customFormat="1" ht="18" customHeight="1">
      <c r="B235" s="105" t="s">
        <v>267</v>
      </c>
    </row>
    <row r="236" spans="2:2" s="62" customFormat="1" ht="18" customHeight="1">
      <c r="B236" s="105" t="s">
        <v>196</v>
      </c>
    </row>
    <row r="237" spans="2:2" s="62" customFormat="1" ht="18" customHeight="1">
      <c r="B237" s="105" t="s">
        <v>197</v>
      </c>
    </row>
    <row r="238" spans="2:2" s="62" customFormat="1" ht="18" customHeight="1">
      <c r="B238" s="105" t="s">
        <v>198</v>
      </c>
    </row>
    <row r="239" spans="2:2" s="62" customFormat="1" ht="18" customHeight="1">
      <c r="B239" s="105" t="s">
        <v>199</v>
      </c>
    </row>
    <row r="240" spans="2:2" s="62" customFormat="1" ht="18" customHeight="1">
      <c r="B240" s="105" t="s">
        <v>200</v>
      </c>
    </row>
    <row r="241" spans="2:2" s="62" customFormat="1" ht="18" customHeight="1">
      <c r="B241" s="105" t="s">
        <v>201</v>
      </c>
    </row>
    <row r="242" spans="2:2" s="62" customFormat="1" ht="18" customHeight="1">
      <c r="B242" s="105" t="s">
        <v>202</v>
      </c>
    </row>
    <row r="243" spans="2:2" s="62" customFormat="1" ht="18" customHeight="1">
      <c r="B243" s="120" t="s">
        <v>285</v>
      </c>
    </row>
    <row r="244" spans="2:2" s="62" customFormat="1" ht="18" customHeight="1">
      <c r="B244" s="105" t="s">
        <v>203</v>
      </c>
    </row>
    <row r="245" spans="2:2" s="62" customFormat="1" ht="18" customHeight="1">
      <c r="B245" s="105" t="s">
        <v>204</v>
      </c>
    </row>
    <row r="246" spans="2:2" s="100" customFormat="1" ht="18" customHeight="1"/>
    <row r="247" spans="2:2" s="100" customFormat="1" ht="18" customHeight="1"/>
    <row r="248" spans="2:2" s="100" customFormat="1" ht="18" customHeight="1"/>
    <row r="249" spans="2:2" s="100" customFormat="1" ht="18" customHeight="1"/>
    <row r="250" spans="2:2" s="100" customFormat="1" ht="18" customHeight="1"/>
    <row r="251" spans="2:2" s="100" customFormat="1" ht="18" customHeight="1"/>
    <row r="252" spans="2:2" s="100" customFormat="1" ht="18" customHeight="1"/>
    <row r="253" spans="2:2" s="100" customFormat="1" ht="18" customHeight="1"/>
    <row r="254" spans="2:2" s="100" customFormat="1" ht="18" customHeight="1"/>
    <row r="255" spans="2:2" s="100" customFormat="1" ht="18" customHeight="1"/>
    <row r="256" spans="2:2" s="100" customFormat="1" ht="18" customHeight="1"/>
    <row r="257" s="100" customFormat="1" ht="18" customHeight="1"/>
    <row r="258" s="100" customFormat="1" ht="18" customHeight="1"/>
    <row r="259" s="100" customFormat="1" ht="18" customHeight="1"/>
    <row r="260" s="100" customFormat="1" ht="18" customHeight="1"/>
    <row r="261" s="100" customFormat="1" ht="18" customHeight="1"/>
    <row r="262" s="100" customFormat="1" ht="18" customHeight="1"/>
    <row r="263" s="100" customFormat="1" ht="18" customHeight="1"/>
    <row r="264" s="100" customFormat="1" ht="18" customHeight="1"/>
    <row r="265" s="100" customFormat="1" ht="18" customHeight="1"/>
    <row r="266" s="100" customFormat="1" ht="18" customHeight="1"/>
    <row r="267" s="100" customFormat="1" ht="18" customHeight="1"/>
    <row r="268" s="100" customFormat="1" ht="18" customHeight="1"/>
    <row r="269" s="100" customFormat="1" ht="18" customHeight="1"/>
    <row r="270" s="100" customFormat="1" ht="18" customHeight="1"/>
    <row r="271" s="100" customFormat="1" ht="18" customHeight="1"/>
    <row r="272" s="100" customFormat="1" ht="18" customHeight="1"/>
    <row r="273" s="100" customFormat="1" ht="18" customHeight="1"/>
    <row r="274" s="100" customFormat="1" ht="18" customHeight="1"/>
    <row r="275" s="100" customFormat="1" ht="18" customHeight="1"/>
    <row r="276" s="100" customFormat="1" ht="18" customHeight="1"/>
    <row r="277" s="100" customFormat="1" ht="18" customHeight="1"/>
    <row r="278" s="100" customFormat="1" ht="18" customHeight="1"/>
    <row r="279" s="100" customFormat="1" ht="18" customHeight="1"/>
    <row r="280" s="100" customFormat="1" ht="18" customHeight="1"/>
    <row r="281" s="100" customFormat="1" ht="18" customHeight="1"/>
    <row r="282" s="100" customFormat="1" ht="18" customHeight="1"/>
    <row r="283" s="100" customFormat="1" ht="18" customHeight="1"/>
    <row r="284" s="100" customFormat="1" ht="18" customHeight="1"/>
    <row r="285" s="100" customFormat="1" ht="18" customHeight="1"/>
    <row r="286" s="100" customFormat="1" ht="18" customHeight="1"/>
    <row r="287" s="100" customFormat="1" ht="18" customHeight="1"/>
    <row r="288" s="100" customFormat="1" ht="18" customHeight="1"/>
    <row r="289" s="100" customFormat="1" ht="18" customHeight="1"/>
    <row r="290" s="100" customFormat="1" ht="18" customHeight="1"/>
    <row r="291" s="100" customFormat="1" ht="18" customHeight="1"/>
    <row r="292" s="100" customFormat="1" ht="18" customHeight="1"/>
    <row r="293" s="100" customFormat="1" ht="18" customHeight="1"/>
    <row r="294" s="100" customFormat="1" ht="18" customHeight="1"/>
    <row r="295" s="100" customFormat="1" ht="18" customHeight="1"/>
    <row r="296" s="100" customFormat="1" ht="18" customHeight="1"/>
    <row r="297" s="100" customFormat="1" ht="18" customHeight="1"/>
    <row r="298" s="100" customFormat="1" ht="18" customHeight="1"/>
    <row r="299" s="100" customFormat="1" ht="18" customHeight="1"/>
    <row r="300" s="100" customFormat="1" ht="30" customHeight="1"/>
    <row r="301" s="100" customFormat="1" ht="30" customHeight="1"/>
    <row r="302" s="100" customFormat="1" ht="30" customHeight="1"/>
    <row r="303" s="100" customFormat="1" ht="30" customHeight="1"/>
    <row r="304" s="100" customFormat="1" ht="30" customHeight="1"/>
    <row r="305" s="100" customFormat="1" ht="30" customHeight="1"/>
    <row r="306" s="100" customFormat="1" ht="30" customHeight="1"/>
  </sheetData>
  <sheetProtection algorithmName="SHA-512" hashValue="Kc/9IOuBoQ6aEpxTIMH5+jZ+ZWA/rQuRC9U8YIPhhy4n+riqjZLwapF+8w8wuI0Ym0pSpFHQd9eU0P6BYfOykA==" saltValue="QVXd1V8zdy4NT4H4IwIWGA==" spinCount="100000" sheet="1" selectLockedCells="1"/>
  <mergeCells count="49">
    <mergeCell ref="G2:M2"/>
    <mergeCell ref="B46:F46"/>
    <mergeCell ref="B4:B5"/>
    <mergeCell ref="C4:D4"/>
    <mergeCell ref="E4:E5"/>
    <mergeCell ref="F4:G5"/>
    <mergeCell ref="L4:M4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N4:N5"/>
    <mergeCell ref="F6:G6"/>
    <mergeCell ref="F7:G7"/>
    <mergeCell ref="F8:G8"/>
    <mergeCell ref="F9:G9"/>
    <mergeCell ref="J4:K4"/>
    <mergeCell ref="H4:I4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B43:D43"/>
    <mergeCell ref="F43:G43"/>
    <mergeCell ref="F38:G38"/>
    <mergeCell ref="F39:G39"/>
    <mergeCell ref="F40:G40"/>
    <mergeCell ref="F41:G41"/>
    <mergeCell ref="F42:G42"/>
  </mergeCells>
  <phoneticPr fontId="1" type="noConversion"/>
  <conditionalFormatting sqref="B6:N35 B36:F36 H36:N36 B37:N37 B38:F38 H38:N38 B39:N42">
    <cfRule type="containsBlanks" dxfId="0" priority="2">
      <formula>LEN(TRIM(B6))=0</formula>
    </cfRule>
  </conditionalFormatting>
  <printOptions horizontalCentered="1"/>
  <pageMargins left="0.24" right="0.24" top="0.31" bottom="0.31" header="0.31" footer="0.31"/>
  <pageSetup paperSize="9"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9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지출(개인)</vt:lpstr>
      <vt:lpstr>지출(개인)-1</vt:lpstr>
      <vt:lpstr>여비교통(개인)</vt:lpstr>
      <vt:lpstr>여비교통(개인)-1</vt:lpstr>
      <vt:lpstr>지출(법인)</vt:lpstr>
      <vt:lpstr>지출(법인)-1</vt:lpstr>
      <vt:lpstr>지출(법인)-2</vt:lpstr>
      <vt:lpstr>여비교통(법인)</vt:lpstr>
      <vt:lpstr>여비교통(법인)-1</vt:lpstr>
      <vt:lpstr>'여비교통(개인)'!Print_Area</vt:lpstr>
      <vt:lpstr>'여비교통(개인)-1'!Print_Area</vt:lpstr>
      <vt:lpstr>'여비교통(법인)'!Print_Area</vt:lpstr>
      <vt:lpstr>'여비교통(법인)-1'!Print_Area</vt:lpstr>
      <vt:lpstr>'지출(개인)'!Print_Area</vt:lpstr>
      <vt:lpstr>'지출(개인)-1'!Print_Area</vt:lpstr>
      <vt:lpstr>'지출(법인)'!Print_Area</vt:lpstr>
      <vt:lpstr>'지출(법인)-1'!Print_Area</vt:lpstr>
      <vt:lpstr>'지출(법인)-2'!Print_Area</vt:lpstr>
    </vt:vector>
  </TitlesOfParts>
  <Company>Microsoft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jongmin</dc:creator>
  <cp:lastModifiedBy>박규남</cp:lastModifiedBy>
  <cp:revision>3</cp:revision>
  <cp:lastPrinted>2026-09-22T00:17:30Z</cp:lastPrinted>
  <dcterms:created xsi:type="dcterms:W3CDTF">2018-06-27T05:26:13Z</dcterms:created>
  <dcterms:modified xsi:type="dcterms:W3CDTF">2026-09-22T00:17:54Z</dcterms:modified>
</cp:coreProperties>
</file>