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e7c453b69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fka Sizing" sheetId="1" r:id="Ra405a1c9008842b6"/>
  </x:sheets>
</x:workbook>
</file>

<file path=xl/comments1.xml><?xml version="1.0" encoding="utf-8"?>
<x:comments xmlns:x="http://schemas.openxmlformats.org/spreadsheetml/2006/main">
  <x:authors>
    <x:author>tc={64C78A18-B4F8-D07D-D687-22162D59AC4A}</x:author>
  </x:authors>
  <x:commentList>
    <x:comment ref="B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자원 여유율은 최대 사용률로 해석합니다. 70% 입력은 30% headroom을 의미합니다.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0%"/>
    <x:numFmt numFmtId="202" formatCode="#,##0"/>
    <x:numFmt numFmtId="203" formatCode="#,##0.000"/>
    <x:numFmt numFmtId="204" formatCode="0.000 &quot;GB/s&quot;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52606D"/>
      <x:name val="Carlito"/>
    </x:font>
    <x:font>
      <x:b/>
      <x:sz val="11"/>
      <x:color rgb="FFFFFFFF"/>
      <x:name val="Carlito"/>
    </x:font>
    <x:font>
      <x:b/>
      <x:sz val="11"/>
      <x:color rgb="FF0B5CAD"/>
      <x:name val="Carlito"/>
    </x:font>
    <x:font>
      <x:b/>
      <x:sz val="11"/>
      <x:color rgb="FF075E54"/>
      <x:name val="Carlito"/>
    </x:font>
    <x:font>
      <x:b/>
      <x:sz val="11"/>
      <x:color rgb="FF16324F"/>
      <x:name val="Carlito"/>
    </x:font>
    <x:font>
      <x:sz val="11"/>
      <x:color rgb="FF172033"/>
      <x:name val="Carlito"/>
    </x:font>
    <x:font>
      <x:b/>
      <x:sz val="11"/>
      <x:color rgb="FF92400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EEF6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DDF4EF"/>
      </x:patternFill>
    </x:fill>
    <x:fill>
      <x:patternFill patternType="solid">
        <x:fgColor rgb="FFE8F1FB"/>
      </x:patternFill>
    </x:fill>
    <x:fill>
      <x:patternFill patternType="solid">
        <x:fgColor rgb="FFF6F8FA"/>
      </x:patternFill>
    </x:fill>
    <x:fill>
      <x:patternFill patternType="solid">
        <x:fgColor rgb="FFFEF3C7"/>
      </x:patternFill>
    </x:fill>
  </x:fills>
  <x:borders count="1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right" vertical="center"/>
    </x:xf>
    <x:xf numFmtId="0" fontId="4" fillId="5" borderId="3" xfId="0" applyNumberFormat="1" applyFont="1" applyFill="1" applyBorder="1" applyAlignment="1">
      <x:alignment horizontal="right" vertical="center"/>
    </x:xf>
    <x:xf numFmtId="200" fontId="4" fillId="5" borderId="2" xfId="0" applyNumberFormat="1" applyFont="1" applyFill="1" applyBorder="1" applyAlignment="1">
      <x:alignment horizontal="right" vertical="center"/>
    </x:xf>
    <x:xf numFmtId="200" fontId="4" fillId="5" borderId="3" xfId="0" applyNumberFormat="1" applyFont="1" applyFill="1" applyBorder="1" applyAlignment="1">
      <x:alignment horizontal="right" vertical="center"/>
    </x:xf>
    <x:xf numFmtId="201" fontId="4" fillId="5" borderId="3" xfId="0" applyNumberFormat="1" applyFont="1" applyFill="1" applyBorder="1" applyAlignment="1">
      <x:alignment horizontal="right" vertical="center"/>
    </x:xf>
    <x:xf numFmtId="0" fontId="0" fillId="6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horizontal="right" vertical="center"/>
    </x:xf>
    <x:xf numFmtId="0" fontId="5" fillId="6" borderId="3" xfId="0" applyNumberFormat="1" applyFont="1" applyFill="1" applyBorder="1" applyAlignment="1">
      <x:alignment horizontal="right" vertical="center"/>
    </x:xf>
    <x:xf numFmtId="202" fontId="5" fillId="6" borderId="2" xfId="0" applyNumberFormat="1" applyFont="1" applyFill="1" applyBorder="1" applyAlignment="1">
      <x:alignment horizontal="right" vertical="center"/>
    </x:xf>
    <x:xf numFmtId="202" fontId="5" fillId="6" borderId="3" xfId="0" applyNumberFormat="1" applyFont="1" applyFill="1" applyBorder="1" applyAlignment="1">
      <x:alignment horizontal="right" vertical="center"/>
    </x:xf>
    <x:xf numFmtId="203" fontId="5" fillId="6" borderId="2" xfId="0" applyNumberFormat="1" applyFont="1" applyFill="1" applyBorder="1" applyAlignment="1">
      <x:alignment horizontal="right" vertical="center"/>
    </x:xf>
    <x:xf numFmtId="203" fontId="5" fillId="6" borderId="3" xfId="0" applyNumberFormat="1" applyFont="1" applyFill="1" applyBorder="1" applyAlignment="1">
      <x:alignment horizontal="right" vertical="center"/>
    </x:xf>
    <x:xf numFmtId="200" fontId="5" fillId="6" borderId="2" xfId="0" applyNumberFormat="1" applyFont="1" applyFill="1" applyBorder="1" applyAlignment="1">
      <x:alignment horizontal="right" vertical="center"/>
    </x:xf>
    <x:xf numFmtId="200" fontId="5" fillId="6" borderId="3" xfId="0" applyNumberFormat="1" applyFont="1" applyFill="1" applyBorder="1" applyAlignment="1">
      <x:alignment horizontal="right" vertical="center"/>
    </x:xf>
    <x:xf numFmtId="204" fontId="5" fillId="6" borderId="2" xfId="0" applyNumberFormat="1" applyFont="1" applyFill="1" applyBorder="1" applyAlignment="1">
      <x:alignment horizontal="right" vertical="center"/>
    </x:xf>
    <x:xf numFmtId="204" fontId="5" fillId="6" borderId="3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horizontal="right" vertical="center"/>
    </x:xf>
    <x:xf numFmtId="0" fontId="6" fillId="7" borderId="3" xfId="0" applyNumberFormat="1" applyFont="1" applyFill="1" applyBorder="1" applyAlignment="1">
      <x:alignment horizontal="right" vertical="center"/>
    </x:xf>
    <x:xf numFmtId="203" fontId="6" fillId="7" borderId="2" xfId="0" applyNumberFormat="1" applyFont="1" applyFill="1" applyBorder="1" applyAlignment="1">
      <x:alignment horizontal="right" vertical="center"/>
    </x:xf>
    <x:xf numFmtId="203" fontId="6" fillId="7" borderId="3" xfId="0" applyNumberFormat="1" applyFont="1" applyFill="1" applyBorder="1" applyAlignment="1">
      <x:alignment horizontal="right" vertical="center"/>
    </x:xf>
    <x:xf numFmtId="200" fontId="6" fillId="7" borderId="3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2" xfId="0" applyNumberFormat="1" applyFont="1" applyFill="1" applyBorder="1"/>
    <x:xf numFmtId="0" fontId="7" fillId="8" borderId="10" xfId="0" applyNumberFormat="1" applyFont="1" applyFill="1" applyBorder="1"/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3" xfId="0" applyNumberFormat="1" applyFont="1" applyFill="1" applyBorder="1"/>
    <x:xf numFmtId="0" fontId="8" fillId="9" borderId="11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f050d13184fb8" /><Relationship Type="http://schemas.openxmlformats.org/officeDocument/2006/relationships/theme" Target="/xl/theme/theme1.xml" Id="R72b13fbb876c4ff7" /><Relationship Type="http://schemas.openxmlformats.org/officeDocument/2006/relationships/sharedStrings" Target="/xl/sharedStrings.xml" Id="R798a0260de484265" /><Relationship Type="http://schemas.openxmlformats.org/officeDocument/2006/relationships/worksheet" Target="/xl/worksheets/sheet1.xml" Id="Ra405a1c9008842b6" /><Relationship Type="http://schemas.microsoft.com/office/2017/10/relationships/person" Target="/xl/persons/person.xml" Id="Rda88f0ea28bb4bf3" /></Relationships>
</file>

<file path=xl/persons/person.xml><?xml version="1.0" encoding="utf-8"?>
<xltc:personList xmlns:xltc="http://schemas.microsoft.com/office/spreadsheetml/2018/threadedcomments">
  <xltc:person displayName="박규남" id="{2D2AC79E-4C71-4EB4-9553-FC12524D658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0" dT="2026-09-15T07:25:03.936" personId="{2D2AC79E-4C71-4EB4-9553-FC12524D6584}" id="{64C78A18-B4F8-D07D-D687-22162D59AC4A}">
    <xltc:text>자원 여유율은 최대 사용률로 해석합니다. 70% 입력은 30% headroom을 의미합니다.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fee43dc29024aae" /><Relationship Type="http://schemas.openxmlformats.org/officeDocument/2006/relationships/vmlDrawing" Target="/xl/drawings/vmldrawing.vml" Id="R4e13ba649d3f492a" /><Relationship Type="http://schemas.microsoft.com/office/2017/10/relationships/threadedComment" Target="/xl/threadedcomments/threadedcomment.xml" Id="Rc1f46d033f2247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45" hidden="0" customWidth="1"/>
    <x:col min="5" max="5" width="16" hidden="0" customWidth="1"/>
    <x:col min="6" max="6" width="16" hidden="0" customWidth="1"/>
    <x:col min="7" max="7" width="52" hidden="0" customWidth="1"/>
  </x:cols>
  <x:sheetData>
    <x:row r="1" ht="34" customHeight="1">
      <x:c r="A1" s="3" t="str">
        <x:v>Kafka / Confluent 1-Page Capacity Sizing</x:v>
      </x:c>
      <x:c r="B1" s="3" t="str">
        <x:v>Kafka / Confluent 1-Page Capacity Sizing</x:v>
      </x:c>
      <x:c r="C1" s="3" t="str">
        <x:v>Kafka / Confluent 1-Page Capacity Sizing</x:v>
      </x:c>
      <x:c r="D1" s="3" t="str">
        <x:v>Kafka / Confluent 1-Page Capacity Sizing</x:v>
      </x:c>
      <x:c r="E1" s="3" t="str">
        <x:v>Kafka / Confluent 1-Page Capacity Sizing</x:v>
      </x:c>
      <x:c r="F1" s="3" t="str">
        <x:v>Kafka / Confluent 1-Page Capacity Sizing</x:v>
      </x:c>
      <x:c r="G1" s="3" t="str">
        <x:v>Kafka / Confluent 1-Page Capacity Sizing</x:v>
      </x:c>
    </x:row>
    <x:row r="2" ht="28" customHeight="1">
      <x:c r="A2" s="7" t="str">
        <x:v>입력값 5개만 변경하면 Kafka Broker, Schema Registry, Control Center, CFK Operator의 Pod 및 Pod당 자원이 자동 계산됩니다.</x:v>
      </x:c>
      <x:c r="B2" s="7" t="str">
        <x:v>입력값 5개만 변경하면 Kafka Broker, Schema Registry, Control Center, CFK Operator의 Pod 및 Pod당 자원이 자동 계산됩니다.</x:v>
      </x:c>
      <x:c r="C2" s="7" t="str">
        <x:v>입력값 5개만 변경하면 Kafka Broker, Schema Registry, Control Center, CFK Operator의 Pod 및 Pod당 자원이 자동 계산됩니다.</x:v>
      </x:c>
      <x:c r="D2" s="7" t="str">
        <x:v>입력값 5개만 변경하면 Kafka Broker, Schema Registry, Control Center, CFK Operator의 Pod 및 Pod당 자원이 자동 계산됩니다.</x:v>
      </x:c>
      <x:c r="E2" s="7" t="str">
        <x:v>입력값 5개만 변경하면 Kafka Broker, Schema Registry, Control Center, CFK Operator의 Pod 및 Pod당 자원이 자동 계산됩니다.</x:v>
      </x:c>
      <x:c r="F2" s="7" t="str">
        <x:v>입력값 5개만 변경하면 Kafka Broker, Schema Registry, Control Center, CFK Operator의 Pod 및 Pod당 자원이 자동 계산됩니다.</x:v>
      </x:c>
      <x:c r="G2" s="7" t="str">
        <x:v>입력값 5개만 변경하면 Kafka Broker, Schema Registry, Control Center, CFK Operator의 Pod 및 Pod당 자원이 자동 계산됩니다.</x:v>
      </x:c>
    </x:row>
    <x:row r="4" ht="23" customHeight="1">
      <x:c r="A4" s="10" t="str">
        <x:v>입력값 (노란색 셀만 수정)</x:v>
      </x:c>
      <x:c r="B4" s="10" t="str">
        <x:v>입력값 (노란색 셀만 수정)</x:v>
      </x:c>
      <x:c r="C4" s="10" t="str">
        <x:v>입력값 (노란색 셀만 수정)</x:v>
      </x:c>
      <x:c r="D4" s="10" t="str">
        <x:v>입력값 (노란색 셀만 수정)</x:v>
      </x:c>
      <x:c r="E4" s="10" t="str">
        <x:v>입력값 (노란색 셀만 수정)</x:v>
      </x:c>
      <x:c r="F4" s="10" t="str">
        <x:v>입력값 (노란색 셀만 수정)</x:v>
      </x:c>
      <x:c r="G4" s="10" t="str">
        <x:v>입력값 (노란색 셀만 수정)</x:v>
      </x:c>
    </x:row>
    <x:row r="5" ht="28" customHeight="1">
      <x:c r="A5" s="15" t="str">
        <x:v>입력 항목</x:v>
      </x:c>
      <x:c r="B5" s="15" t="str">
        <x:v>값</x:v>
      </x:c>
      <x:c r="C5" s="15" t="str">
        <x:v>단위</x:v>
      </x:c>
      <x:c r="D5" s="15" t="str">
        <x:v>설명</x:v>
      </x:c>
    </x:row>
    <x:row r="6">
      <x:c r="A6" s="18" t="str">
        <x:v>일일 유입량</x:v>
      </x:c>
      <x:c r="B6" s="26" t="n">
        <x:v>50</x:v>
      </x:c>
      <x:c r="C6" s="18" t="str">
        <x:v>TB/day</x:v>
      </x:c>
      <x:c r="D6" s="18" t="str">
        <x:v>Producer 원본 유입량</x:v>
      </x:c>
    </x:row>
    <x:row r="7">
      <x:c r="A7" s="19" t="str">
        <x:v>Read fanout</x:v>
      </x:c>
      <x:c r="B7" s="27" t="n">
        <x:v>3</x:v>
      </x:c>
      <x:c r="C7" s="19" t="str">
        <x:v>배</x:v>
      </x:c>
      <x:c r="D7" s="19" t="str">
        <x:v>전체 consumer read / producer ingest</x:v>
      </x:c>
    </x:row>
    <x:row r="8">
      <x:c r="A8" s="19" t="str">
        <x:v>Retention</x:v>
      </x:c>
      <x:c r="B8" s="27" t="n">
        <x:v>1</x:v>
      </x:c>
      <x:c r="C8" s="19" t="str">
        <x:v>day</x:v>
      </x:c>
      <x:c r="D8" s="19" t="str">
        <x:v>로컬 Kafka 보존 기간</x:v>
      </x:c>
    </x:row>
    <x:row r="9">
      <x:c r="A9" s="19" t="str">
        <x:v>Replication factor</x:v>
      </x:c>
      <x:c r="B9" s="27" t="n">
        <x:v>3</x:v>
      </x:c>
      <x:c r="C9" s="19" t="str">
        <x:v>배</x:v>
      </x:c>
      <x:c r="D9" s="19" t="str">
        <x:v>리더 1 + 팔로워</x:v>
      </x:c>
    </x:row>
    <x:row r="10">
      <x:c r="A10" s="19" t="str">
        <x:v>목표 최대 사용률</x:v>
      </x:c>
      <x:c r="B10" s="28" t="n">
        <x:v>0.7</x:v>
      </x:c>
      <x:c r="C10" s="19" t="str">
        <x:v>%</x:v>
      </x:c>
      <x:c r="D10" s="19" t="str">
        <x:v>70% 사용, 30% headroom</x:v>
      </x:c>
    </x:row>
    <x:row r="13" ht="23" customHeight="1">
      <x:c r="A13" s="10" t="str">
        <x:v>계산 결과</x:v>
      </x:c>
      <x:c r="B13" s="10" t="str">
        <x:v>계산 결과</x:v>
      </x:c>
      <x:c r="C13" s="10" t="str">
        <x:v>계산 결과</x:v>
      </x:c>
      <x:c r="D13" s="10" t="str">
        <x:v>계산 결과</x:v>
      </x:c>
      <x:c r="E13" s="10" t="str">
        <x:v>계산 결과</x:v>
      </x:c>
      <x:c r="F13" s="10" t="str">
        <x:v>계산 결과</x:v>
      </x:c>
      <x:c r="G13" s="10" t="str">
        <x:v>계산 결과</x:v>
      </x:c>
    </x:row>
    <x:row r="14" ht="28" customHeight="1">
      <x:c r="A14" s="15" t="str">
        <x:v>구성요소</x:v>
      </x:c>
      <x:c r="B14" s="15" t="str">
        <x:v>Pod 수</x:v>
      </x:c>
      <x:c r="C14" s="15" t="str">
        <x:v>CPU / pod</x:v>
      </x:c>
      <x:c r="D14" s="15" t="str">
        <x:v>Memory / pod</x:v>
      </x:c>
      <x:c r="E14" s="15" t="str">
        <x:v>Disk / pod</x:v>
      </x:c>
      <x:c r="F14" s="15" t="str">
        <x:v>Network / pod</x:v>
      </x:c>
      <x:c r="G14" s="15" t="str">
        <x:v>산정 기준</x:v>
      </x:c>
    </x:row>
    <x:row r="15" ht="30" customHeight="1">
      <x:c r="A15" s="18" t="str">
        <x:v>Kafka Broker</x:v>
      </x:c>
      <x:c r="B15" s="35" t="n">
        <x:f>ROUNDUP(MAX(3,ROUNDUP((B6*B8*B9/B10)/12,0),ROUNDUP(((B6*1000/86400)*2*((B9-1)+B7))/(10/8*0.8*B10),0))/3,0)*3</x:f>
        <x:v>18</x:v>
      </x:c>
      <x:c r="C15" s="37" t="n">
        <x:f>24</x:f>
        <x:v>24</x:v>
      </x:c>
      <x:c r="D15" s="37" t="n">
        <x:f>64</x:f>
        <x:v>64</x:v>
      </x:c>
      <x:c r="E15" s="39" t="n">
        <x:f>12</x:f>
        <x:v>12</x:v>
      </x:c>
      <x:c r="F15" s="41" t="n">
        <x:f>((B6*1000/86400)*2*((B9-1)+B7))/B15</x:f>
        <x:v>0.32150205761316875</x:v>
      </x:c>
      <x:c r="G15" s="45" t="str">
        <x:v>Storage / network 중 큰 값, 3개 failure-domain 배수</x:v>
      </x:c>
    </x:row>
    <x:row r="16" ht="30" customHeight="1">
      <x:c r="A16" s="19" t="str">
        <x:v>Schema Registry</x:v>
      </x:c>
      <x:c r="B16" s="36" t="n">
        <x:f>2</x:f>
        <x:v>2</x:v>
      </x:c>
      <x:c r="C16" s="38" t="n">
        <x:f>2</x:f>
        <x:v>2</x:v>
      </x:c>
      <x:c r="D16" s="38" t="n">
        <x:f>2</x:f>
        <x:v>2</x:v>
      </x:c>
      <x:c r="E16" s="40" t="n">
        <x:f>10</x:f>
        <x:v>10</x:v>
      </x:c>
      <x:c r="F16" s="42" t="n">
        <x:f>0.125</x:f>
        <x:v>0.125</x:v>
      </x:c>
      <x:c r="G16" s="46" t="str">
        <x:v>HA 2 pods; 1 GB heap 이상을 포함한 시작점</x:v>
      </x:c>
    </x:row>
    <x:row r="17" ht="30" customHeight="1">
      <x:c r="A17" s="19" t="str">
        <x:v>Control Center</x:v>
      </x:c>
      <x:c r="B17" s="36" t="n">
        <x:f>1</x:f>
        <x:v>1</x:v>
      </x:c>
      <x:c r="C17" s="38" t="n">
        <x:f>4</x:f>
        <x:v>4</x:v>
      </x:c>
      <x:c r="D17" s="38" t="n">
        <x:f>8</x:f>
        <x:v>8</x:v>
      </x:c>
      <x:c r="E17" s="40" t="n">
        <x:f>200</x:f>
        <x:v>200</x:v>
      </x:c>
      <x:c r="F17" s="42" t="n">
        <x:f>0.125</x:f>
        <x:v>0.125</x:v>
      </x:c>
      <x:c r="G17" s="46" t="str">
        <x:v>≤100k replicas, metrics retention 15일 기준</x:v>
      </x:c>
    </x:row>
    <x:row r="18" ht="30" customHeight="1">
      <x:c r="A18" s="19" t="str">
        <x:v>CFK Operator</x:v>
      </x:c>
      <x:c r="B18" s="36" t="n">
        <x:f>1</x:f>
        <x:v>1</x:v>
      </x:c>
      <x:c r="C18" s="38" t="n">
        <x:f>0.5</x:f>
        <x:v>0.5</x:v>
      </x:c>
      <x:c r="D18" s="38" t="n">
        <x:f>0.5</x:f>
        <x:v>0.5</x:v>
      </x:c>
      <x:c r="E18" s="40" t="n">
        <x:f>0</x:f>
        <x:v>0</x:v>
      </x:c>
      <x:c r="F18" s="42" t="n">
        <x:f>0.0125</x:f>
        <x:v>0.0125</x:v>
      </x:c>
      <x:c r="G18" s="46" t="str">
        <x:v>CFK 기본 limit 기준; CR 100개 이상은 별도 증설</x:v>
      </x:c>
    </x:row>
    <x:row r="21" ht="23" customHeight="1">
      <x:c r="A21" s="10" t="str">
        <x:v>핵심 산식</x:v>
      </x:c>
      <x:c r="B21" s="10" t="str">
        <x:v>핵심 산식</x:v>
      </x:c>
      <x:c r="C21" s="10" t="str">
        <x:v>핵심 산식</x:v>
      </x:c>
      <x:c r="D21" s="10" t="str">
        <x:v>핵심 산식</x:v>
      </x:c>
      <x:c r="E21" s="10" t="str">
        <x:v>핵심 산식</x:v>
      </x:c>
      <x:c r="F21" s="10" t="str">
        <x:v>핵심 산식</x:v>
      </x:c>
      <x:c r="G21" s="10" t="str">
        <x:v>핵심 산식</x:v>
      </x:c>
    </x:row>
    <x:row r="22" ht="28" customHeight="1">
      <x:c r="A22" s="15" t="str">
        <x:v>항목</x:v>
      </x:c>
      <x:c r="B22" s="15" t="str">
        <x:v>계산값</x:v>
      </x:c>
      <x:c r="C22" s="15" t="str">
        <x:v>단위</x:v>
      </x:c>
      <x:c r="D22" s="15" t="str">
        <x:v>산식</x:v>
      </x:c>
    </x:row>
    <x:row r="23">
      <x:c r="A23" s="18" t="str">
        <x:v>평균 Producer ingest</x:v>
      </x:c>
      <x:c r="B23" s="53" t="n">
        <x:f>B6*1000/86400</x:f>
        <x:v>0.5787037037037037</x:v>
      </x:c>
      <x:c r="C23" s="18" t="str">
        <x:v>GB/s</x:v>
      </x:c>
      <x:c r="D23" s="45" t="str">
        <x:v>TB/day × 1,000 ÷ 86,400</x:v>
      </x:c>
    </x:row>
    <x:row r="24">
      <x:c r="A24" s="19" t="str">
        <x:v>Peak Producer ingest</x:v>
      </x:c>
      <x:c r="B24" s="54" t="n">
        <x:f>B23*2</x:f>
        <x:v>1.1574074074074074</x:v>
      </x:c>
      <x:c r="C24" s="19" t="str">
        <x:v>GB/s</x:v>
      </x:c>
      <x:c r="D24" s="46" t="str">
        <x:v>평균 × 고정 peak factor 2.0</x:v>
      </x:c>
    </x:row>
    <x:row r="25">
      <x:c r="A25" s="19" t="str">
        <x:v>Peak Consumer read</x:v>
      </x:c>
      <x:c r="B25" s="54" t="n">
        <x:f>B24*B7</x:f>
        <x:v>3.4722222222222223</x:v>
      </x:c>
      <x:c r="C25" s="19" t="str">
        <x:v>GB/s</x:v>
      </x:c>
      <x:c r="D25" s="46" t="str">
        <x:v>Peak ingest × fanout</x:v>
      </x:c>
    </x:row>
    <x:row r="26">
      <x:c r="A26" s="19" t="str">
        <x:v>복제 포함 물리 저장량</x:v>
      </x:c>
      <x:c r="B26" s="55" t="n">
        <x:f>B6*B8*B9</x:f>
        <x:v>150</x:v>
      </x:c>
      <x:c r="C26" s="19" t="str">
        <x:v>TB</x:v>
      </x:c>
      <x:c r="D26" s="46" t="str">
        <x:v>Daily × retention × RF</x:v>
      </x:c>
    </x:row>
    <x:row r="27">
      <x:c r="A27" s="19" t="str">
        <x:v>필요 Raw storage</x:v>
      </x:c>
      <x:c r="B27" s="55" t="n">
        <x:f>B26/B10</x:f>
        <x:v>214.2857142857143</x:v>
      </x:c>
      <x:c r="C27" s="19" t="str">
        <x:v>TB</x:v>
      </x:c>
      <x:c r="D27" s="46" t="str">
        <x:v>Physical storage ÷ target utilization</x:v>
      </x:c>
    </x:row>
    <x:row r="30" ht="23" customHeight="1">
      <x:c r="A30" s="10" t="str">
        <x:v>고정 운영 가정 (입력값 아님)</x:v>
      </x:c>
      <x:c r="B30" s="10" t="str">
        <x:v>고정 운영 가정 (입력값 아님)</x:v>
      </x:c>
      <x:c r="C30" s="10" t="str">
        <x:v>고정 운영 가정 (입력값 아님)</x:v>
      </x:c>
      <x:c r="D30" s="10" t="str">
        <x:v>고정 운영 가정 (입력값 아님)</x:v>
      </x:c>
      <x:c r="E30" s="10" t="str">
        <x:v>고정 운영 가정 (입력값 아님)</x:v>
      </x:c>
      <x:c r="F30" s="10" t="str">
        <x:v>고정 운영 가정 (입력값 아님)</x:v>
      </x:c>
      <x:c r="G30" s="10" t="str">
        <x:v>고정 운영 가정 (입력값 아님)</x:v>
      </x:c>
    </x:row>
    <x:row r="31" ht="30" customHeight="1">
      <x:c r="A31" s="75" t="str">
        <x:v>Kafka Broker: 12 TB disk, 10 GbE, 24 core, 64 GB RAM, network 효율 80%, peak factor 2.0x. 실제 장비 사양이나 피크 계수가 다르면 Broker Pod 수가 달라집니다.</x:v>
      </x:c>
      <x:c r="B31" s="76"/>
      <x:c r="C31" s="76"/>
      <x:c r="D31" s="76"/>
      <x:c r="E31" s="76"/>
      <x:c r="F31" s="76"/>
      <x:c r="G31" s="77"/>
    </x:row>
    <x:row r="32" ht="30" customHeight="1">
      <x:c r="A32" s="78" t="str">
        <x:v>Schema Registry는 2 pods HA, Control Center는 총 replica 100k 이하와 metrics retention 15일을 기준으로 했습니다. Partition 수가 많거나 metrics retention이 길면 Control Center 자원을 늘리십시오.</x:v>
      </x:c>
      <x:c r="B32" s="79"/>
      <x:c r="C32" s="79"/>
      <x:c r="D32" s="79"/>
      <x:c r="E32" s="79"/>
      <x:c r="F32" s="79"/>
      <x:c r="G32" s="80"/>
    </x:row>
    <x:row r="33" ht="30" customHeight="1">
      <x:c r="A33" s="81" t="str">
        <x:v>Network / pod는 GB/s입니다(10 Gbps = 1.25 GB/s). CFK Operator는 데이터 처리량보다 관리 CR 수가 주된 sizing driver입니다.</x:v>
      </x:c>
      <x:c r="B33" s="82"/>
      <x:c r="C33" s="82"/>
      <x:c r="D33" s="82"/>
      <x:c r="E33" s="82"/>
      <x:c r="F33" s="82"/>
      <x:c r="G33" s="83"/>
    </x:row>
    <x:row r="35" ht="34" customHeight="1">
      <x:c r="A35" s="92" t="str">
        <x:v>검증 필수: 실제 압축률, TLS, message size, partition/replica 수, SSD 성능 및 1-broker 장애 재복제 부하로 benchmark 하십시오.</x:v>
      </x:c>
      <x:c r="B35" s="93" t="str">
        <x:v>검증 필수: 실제 압축률, TLS, message size, partition/replica 수, SSD 성능 및 1-broker 장애 재복제 부하로 benchmark 하십시오.</x:v>
      </x:c>
      <x:c r="C35" s="93" t="str">
        <x:v>검증 필수: 실제 압축률, TLS, message size, partition/replica 수, SSD 성능 및 1-broker 장애 재복제 부하로 benchmark 하십시오.</x:v>
      </x:c>
      <x:c r="D35" s="93" t="str">
        <x:v>검증 필수: 실제 압축률, TLS, message size, partition/replica 수, SSD 성능 및 1-broker 장애 재복제 부하로 benchmark 하십시오.</x:v>
      </x:c>
      <x:c r="E35" s="93" t="str">
        <x:v>검증 필수: 실제 압축률, TLS, message size, partition/replica 수, SSD 성능 및 1-broker 장애 재복제 부하로 benchmark 하십시오.</x:v>
      </x:c>
      <x:c r="F35" s="93" t="str">
        <x:v>검증 필수: 실제 압축률, TLS, message size, partition/replica 수, SSD 성능 및 1-broker 장애 재복제 부하로 benchmark 하십시오.</x:v>
      </x:c>
      <x:c r="G35" s="94" t="str">
        <x:v>검증 필수: 실제 압축률, TLS, message size, partition/replica 수, SSD 성능 및 1-broker 장애 재복제 부하로 benchmark 하십시오.</x:v>
      </x:c>
    </x:row>
  </x:sheetData>
  <x:mergeCells>
    <x:mergeCell ref="A1:G1"/>
    <x:mergeCell ref="A2:G2"/>
    <x:mergeCell ref="A4:G4"/>
    <x:mergeCell ref="A13:G13"/>
    <x:mergeCell ref="A21:G21"/>
    <x:mergeCell ref="A30:G30"/>
    <x:mergeCell ref="A31:G31"/>
    <x:mergeCell ref="A32:G32"/>
    <x:mergeCell ref="A33:G33"/>
    <x:mergeCell ref="A35:G35"/>
  </x:mergeCells>
  <x:pageMargins left="0.7" right="0.7" top="0.75" bottom="0.75" header="0.3" footer="0.3"/>
  <x:legacyDrawing xmlns:r="http://schemas.openxmlformats.org/officeDocument/2006/relationships" r:id="R4e13ba649d3f492a"/>
</x:worksheet>
</file>