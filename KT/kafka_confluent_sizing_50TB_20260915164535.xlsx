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WORK\KAFKA\KT\"/>
    </mc:Choice>
  </mc:AlternateContent>
  <xr:revisionPtr revIDLastSave="0" documentId="13_ncr:1_{AA76C9B2-D97B-4143-AD12-834FC9DD8ADE}" xr6:coauthVersionLast="36" xr6:coauthVersionMax="36" xr10:uidLastSave="{00000000-0000-0000-0000-000000000000}"/>
  <bookViews>
    <workbookView xWindow="0" yWindow="0" windowWidth="19200" windowHeight="8040" xr2:uid="{00000000-000D-0000-FFFF-FFFF00000000}"/>
  </bookViews>
  <sheets>
    <sheet name="Kafka Sizing" sheetId="1" r:id="rId1"/>
  </sheets>
  <calcPr calcId="191029"/>
</workbook>
</file>

<file path=xl/calcChain.xml><?xml version="1.0" encoding="utf-8"?>
<calcChain xmlns="http://schemas.openxmlformats.org/spreadsheetml/2006/main">
  <c r="B15" i="1" l="1"/>
  <c r="D19" i="1"/>
  <c r="C19" i="1"/>
  <c r="B27" i="1"/>
  <c r="B24" i="1"/>
  <c r="B25" i="1" s="1"/>
  <c r="B26" i="1" s="1"/>
  <c r="F19" i="1"/>
  <c r="B19" i="1"/>
  <c r="F17" i="1"/>
  <c r="D17" i="1"/>
  <c r="C17" i="1"/>
  <c r="B17" i="1"/>
  <c r="F16" i="1"/>
  <c r="D16" i="1"/>
  <c r="C16" i="1"/>
  <c r="B16" i="1"/>
  <c r="C15" i="1"/>
  <c r="B29" i="1" l="1"/>
  <c r="B2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tc={DD0BD3F9-16DE-7A1B-8B0C-60D4043D6B0D}</author>
  </authors>
  <commentList>
    <comment ref="B10" authorId="0" shapeId="0" xr:uid="{00000000-0006-0000-0000-000001000000}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자원 여유율은 최대 사용률로 해석합니다. 70% 입력은 30% headroom을 의미합니다.</t>
        </r>
      </text>
    </comment>
  </commentList>
</comments>
</file>

<file path=xl/sharedStrings.xml><?xml version="1.0" encoding="utf-8"?>
<sst xmlns="http://schemas.openxmlformats.org/spreadsheetml/2006/main" count="115" uniqueCount="65">
  <si>
    <t>Kafka / Confluent 1-Page Capacity Sizing</t>
  </si>
  <si>
    <t>입력값 5개만 변경하면 Kafka Broker, Schema Registry, Control Center, CFK Operator의 Pod 및 Pod당 자원이 자동 계산됩니다.</t>
  </si>
  <si>
    <t>입력값 (노란색 셀만 수정)</t>
  </si>
  <si>
    <t>입력 항목</t>
  </si>
  <si>
    <t>값</t>
  </si>
  <si>
    <t>단위</t>
  </si>
  <si>
    <t>설명</t>
  </si>
  <si>
    <t>일일 유입량</t>
  </si>
  <si>
    <t>TB/day</t>
  </si>
  <si>
    <t>Producer 원본 유입량</t>
  </si>
  <si>
    <t>Read fanout</t>
  </si>
  <si>
    <t>배</t>
  </si>
  <si>
    <t>전체 consumer read / producer ingest</t>
  </si>
  <si>
    <t>Retention</t>
  </si>
  <si>
    <t>day</t>
  </si>
  <si>
    <t>로컬 Kafka 보존 기간</t>
  </si>
  <si>
    <t>Replication factor</t>
  </si>
  <si>
    <t>리더 1 + 팔로워</t>
  </si>
  <si>
    <t>목표 최대 사용률</t>
  </si>
  <si>
    <t>%</t>
  </si>
  <si>
    <t>70% 사용, 30% headroom</t>
  </si>
  <si>
    <t>계산 결과</t>
  </si>
  <si>
    <t>구성요소</t>
  </si>
  <si>
    <t>Pod 수</t>
  </si>
  <si>
    <t>CPU / pod</t>
  </si>
  <si>
    <t>Memory / pod</t>
  </si>
  <si>
    <t>Network / pod</t>
  </si>
  <si>
    <t>N-1 검증 / 기준</t>
  </si>
  <si>
    <t>Kafka Broker</t>
  </si>
  <si>
    <t>Schema Registry</t>
  </si>
  <si>
    <t>Control Center</t>
  </si>
  <si>
    <t>CFK Operator</t>
  </si>
  <si>
    <t>핵심 산식 및 Broker N-1 검증</t>
  </si>
  <si>
    <t>항목</t>
  </si>
  <si>
    <t>계산값</t>
  </si>
  <si>
    <t>산식</t>
  </si>
  <si>
    <t>평균 Producer ingest</t>
  </si>
  <si>
    <t>GB/s</t>
  </si>
  <si>
    <t>TB/day × 1,000 ÷ 86,400</t>
  </si>
  <si>
    <t>Peak Producer ingest</t>
  </si>
  <si>
    <t>평균 × 고정 peak factor 2.0</t>
  </si>
  <si>
    <t>Peak cluster outbound (RF + fanout)</t>
  </si>
  <si>
    <t>Peak ingest × (RF-1 + fanout)</t>
  </si>
  <si>
    <t>필요 Raw storage</t>
  </si>
  <si>
    <t>TB raw</t>
  </si>
  <si>
    <t>Daily × retention × RF ÷ utilization</t>
  </si>
  <si>
    <t>N-1 필요 Disk / active broker</t>
  </si>
  <si>
    <t>TB / pod</t>
  </si>
  <si>
    <t>Required raw storage ÷ 3 active brokers</t>
  </si>
  <si>
    <t>N-1 필요 Network / active broker</t>
  </si>
  <si>
    <t>GB/s / pod</t>
  </si>
  <si>
    <t>Cluster outbound ÷ 3 ÷ 80% ÷ utilization</t>
  </si>
  <si>
    <t>고정 운영 가정 (입력값 아님)</t>
  </si>
  <si>
    <t>All-SSD local storage only. Tiered Storage is not used.</t>
  </si>
  <si>
    <t>Fixed deployment: 4 Brokers / 2 Schema Registry / 1 Control Center / 1 CFK Operator. Broker: 24 CPU cores, 128 GB memory, 72 TB SSD, 40 GbE (5 GB/s).</t>
  </si>
  <si>
    <t>N-1 check assumes one Broker unavailable, 2x peak producer rate, 80% usable network efficiency, and the selected resource utilization rate. Network includes follower replication plus consumer read fanout.</t>
  </si>
  <si>
    <t>검증 필수: 실제 압축률, TLS, message size, partition/replica 수, SSD 성능 및 1-broker 장애 재복제 부하로 benchmark 하십시오.</t>
  </si>
  <si>
    <t>권장사항</t>
    <phoneticPr fontId="9" type="noConversion"/>
  </si>
  <si>
    <t>100G</t>
    <phoneticPr fontId="9" type="noConversion"/>
  </si>
  <si>
    <t>200G</t>
    <phoneticPr fontId="9" type="noConversion"/>
  </si>
  <si>
    <t>Disk / pod</t>
    <phoneticPr fontId="9" type="noConversion"/>
  </si>
  <si>
    <t>Storage / network 중 큰 값, 3개 failure-domain 배수</t>
  </si>
  <si>
    <t>10 GbE * 2</t>
    <phoneticPr fontId="9" type="noConversion"/>
  </si>
  <si>
    <t>Kraft Controller</t>
    <phoneticPr fontId="9" type="noConversion"/>
  </si>
  <si>
    <t>권장사항(최소)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</si>
</sst>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"/>
    <numFmt numFmtId="177" formatCode="#,##0.000"/>
    <numFmt numFmtId="178" formatCode="0.000\ &quot;GB/s&quot;"/>
  </numFmts>
  <fonts count="11">
    <font>
      <sz val="11"/>
      <name val="Carlito"/>
    </font>
    <font>
      <b/>
      <sz val="18"/>
      <color rgb="FFFFFFFF"/>
      <name val="Carlito"/>
    </font>
    <font>
      <sz val="11"/>
      <color rgb="FF52606D"/>
      <name val="Carlito"/>
    </font>
    <font>
      <b/>
      <sz val="11"/>
      <color rgb="FFFFFFFF"/>
      <name val="Carlito"/>
    </font>
    <font>
      <b/>
      <sz val="11"/>
      <color rgb="FF075E54"/>
      <name val="Carlito"/>
    </font>
    <font>
      <b/>
      <sz val="11"/>
      <color rgb="FF16324F"/>
      <name val="Carlito"/>
    </font>
    <font>
      <sz val="11"/>
      <color rgb="FF172033"/>
      <name val="Carlito"/>
    </font>
    <font>
      <b/>
      <sz val="11"/>
      <color rgb="FF92400E"/>
      <name val="Carlito"/>
    </font>
    <font>
      <sz val="11"/>
      <name val="Carlito"/>
    </font>
    <font>
      <sz val="8"/>
      <name val="돋움"/>
      <family val="3"/>
      <charset val="129"/>
    </font>
    <font>
      <b/>
      <sz val="11"/>
      <color rgb="FFFF0000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16324F"/>
      </patternFill>
    </fill>
    <fill>
      <patternFill patternType="solid">
        <fgColor rgb="FFE7EEF6"/>
      </patternFill>
    </fill>
    <fill>
      <patternFill patternType="solid">
        <fgColor rgb="FF0F766E"/>
      </patternFill>
    </fill>
    <fill>
      <patternFill patternType="solid">
        <fgColor rgb="FFFFF4CC"/>
      </patternFill>
    </fill>
    <fill>
      <patternFill patternType="solid">
        <fgColor rgb="FFDDF4EF"/>
      </patternFill>
    </fill>
    <fill>
      <patternFill patternType="solid">
        <fgColor rgb="FFE8F1FB"/>
      </patternFill>
    </fill>
    <fill>
      <patternFill patternType="solid">
        <fgColor rgb="FFF6F8FA"/>
      </patternFill>
    </fill>
    <fill>
      <patternFill patternType="solid">
        <fgColor rgb="FFFEF3C7"/>
      </patternFill>
    </fill>
  </fills>
  <borders count="14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/>
      <bottom style="thin">
        <color rgb="FFCBD5E1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 style="thin">
        <color rgb="FFCBD5E1"/>
      </left>
      <right/>
      <top style="thin">
        <color rgb="FFCBD5E1"/>
      </top>
      <bottom/>
      <diagonal/>
    </border>
    <border>
      <left/>
      <right/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/>
      <top/>
      <bottom/>
      <diagonal/>
    </border>
    <border>
      <left/>
      <right style="thin">
        <color rgb="FFCBD5E1"/>
      </right>
      <top/>
      <bottom/>
      <diagonal/>
    </border>
    <border>
      <left style="thin">
        <color rgb="FFCBD5E1"/>
      </left>
      <right/>
      <top/>
      <bottom style="thin">
        <color rgb="FFCBD5E1"/>
      </bottom>
      <diagonal/>
    </border>
    <border>
      <left/>
      <right style="thin">
        <color rgb="FFCBD5E1"/>
      </right>
      <top/>
      <bottom style="thin">
        <color rgb="FFCBD5E1"/>
      </bottom>
      <diagonal/>
    </border>
    <border>
      <left style="thin">
        <color rgb="FFF59E0B"/>
      </left>
      <right/>
      <top style="thin">
        <color rgb="FFF59E0B"/>
      </top>
      <bottom style="thin">
        <color rgb="FFF59E0B"/>
      </bottom>
      <diagonal/>
    </border>
    <border>
      <left/>
      <right/>
      <top style="thin">
        <color rgb="FFF59E0B"/>
      </top>
      <bottom style="thin">
        <color rgb="FFF59E0B"/>
      </bottom>
      <diagonal/>
    </border>
    <border>
      <left/>
      <right style="thin">
        <color rgb="FFF59E0B"/>
      </right>
      <top style="thin">
        <color rgb="FFF59E0B"/>
      </top>
      <bottom style="thin">
        <color rgb="FFF59E0B"/>
      </bottom>
      <diagonal/>
    </border>
  </borders>
  <cellStyleXfs count="2">
    <xf numFmtId="0" fontId="0" fillId="0" borderId="0"/>
    <xf numFmtId="0" fontId="8" fillId="0" borderId="0"/>
  </cellStyleXfs>
  <cellXfs count="35">
    <xf numFmtId="0" fontId="0" fillId="0" borderId="0" xfId="0"/>
    <xf numFmtId="0" fontId="3" fillId="2" borderId="1" xfId="1" applyNumberFormat="1" applyFont="1" applyFill="1" applyBorder="1" applyAlignment="1">
      <alignment horizontal="center" vertical="center" wrapText="1"/>
    </xf>
    <xf numFmtId="0" fontId="0" fillId="0" borderId="2" xfId="1" applyNumberFormat="1" applyFont="1" applyFill="1" applyBorder="1" applyAlignment="1">
      <alignment vertical="center"/>
    </xf>
    <xf numFmtId="0" fontId="0" fillId="0" borderId="3" xfId="1" applyNumberFormat="1" applyFont="1" applyFill="1" applyBorder="1" applyAlignment="1">
      <alignment vertical="center"/>
    </xf>
    <xf numFmtId="3" fontId="4" fillId="6" borderId="3" xfId="1" applyNumberFormat="1" applyFont="1" applyFill="1" applyBorder="1" applyAlignment="1">
      <alignment horizontal="right" vertical="center"/>
    </xf>
    <xf numFmtId="177" fontId="4" fillId="6" borderId="2" xfId="1" applyNumberFormat="1" applyFont="1" applyFill="1" applyBorder="1" applyAlignment="1">
      <alignment horizontal="right" vertical="center"/>
    </xf>
    <xf numFmtId="177" fontId="4" fillId="6" borderId="3" xfId="1" applyNumberFormat="1" applyFont="1" applyFill="1" applyBorder="1" applyAlignment="1">
      <alignment horizontal="right" vertical="center"/>
    </xf>
    <xf numFmtId="176" fontId="4" fillId="6" borderId="3" xfId="1" applyNumberFormat="1" applyFont="1" applyFill="1" applyBorder="1" applyAlignment="1">
      <alignment horizontal="right" vertical="center"/>
    </xf>
    <xf numFmtId="178" fontId="4" fillId="6" borderId="2" xfId="1" applyNumberFormat="1" applyFont="1" applyFill="1" applyBorder="1" applyAlignment="1">
      <alignment horizontal="right" vertical="center"/>
    </xf>
    <xf numFmtId="178" fontId="4" fillId="6" borderId="3" xfId="1" applyNumberFormat="1" applyFont="1" applyFill="1" applyBorder="1" applyAlignment="1">
      <alignment horizontal="right" vertical="center"/>
    </xf>
    <xf numFmtId="0" fontId="2" fillId="0" borderId="2" xfId="1" applyNumberFormat="1" applyFont="1" applyFill="1" applyBorder="1" applyAlignment="1">
      <alignment vertical="center" wrapText="1"/>
    </xf>
    <xf numFmtId="0" fontId="2" fillId="0" borderId="3" xfId="1" applyNumberFormat="1" applyFont="1" applyFill="1" applyBorder="1" applyAlignment="1">
      <alignment vertical="center" wrapText="1"/>
    </xf>
    <xf numFmtId="177" fontId="5" fillId="7" borderId="2" xfId="1" applyNumberFormat="1" applyFont="1" applyFill="1" applyBorder="1" applyAlignment="1">
      <alignment horizontal="right" vertical="center"/>
    </xf>
    <xf numFmtId="177" fontId="5" fillId="7" borderId="3" xfId="1" applyNumberFormat="1" applyFont="1" applyFill="1" applyBorder="1" applyAlignment="1">
      <alignment horizontal="right" vertical="center"/>
    </xf>
    <xf numFmtId="176" fontId="5" fillId="7" borderId="3" xfId="1" applyNumberFormat="1" applyFont="1" applyFill="1" applyBorder="1" applyAlignment="1">
      <alignment horizontal="right" vertical="center"/>
    </xf>
    <xf numFmtId="176" fontId="10" fillId="7" borderId="3" xfId="1" applyNumberFormat="1" applyFont="1" applyFill="1" applyBorder="1" applyAlignment="1">
      <alignment horizontal="right" vertical="center"/>
    </xf>
    <xf numFmtId="176" fontId="10" fillId="5" borderId="2" xfId="1" applyNumberFormat="1" applyFont="1" applyFill="1" applyBorder="1" applyAlignment="1">
      <alignment horizontal="right" vertical="center"/>
    </xf>
    <xf numFmtId="176" fontId="10" fillId="5" borderId="3" xfId="1" applyNumberFormat="1" applyFont="1" applyFill="1" applyBorder="1" applyAlignment="1">
      <alignment horizontal="right" vertical="center"/>
    </xf>
    <xf numFmtId="9" fontId="10" fillId="5" borderId="3" xfId="1" applyNumberFormat="1" applyFont="1" applyFill="1" applyBorder="1" applyAlignment="1">
      <alignment horizontal="right" vertical="center"/>
    </xf>
    <xf numFmtId="4" fontId="4" fillId="6" borderId="2" xfId="1" applyNumberFormat="1" applyFont="1" applyFill="1" applyBorder="1" applyAlignment="1">
      <alignment horizontal="right" vertical="center"/>
    </xf>
    <xf numFmtId="0" fontId="3" fillId="4" borderId="0" xfId="1" applyNumberFormat="1" applyFont="1" applyFill="1" applyBorder="1" applyAlignment="1">
      <alignment vertical="center"/>
    </xf>
    <xf numFmtId="0" fontId="6" fillId="8" borderId="4" xfId="1" applyNumberFormat="1" applyFont="1" applyFill="1" applyBorder="1" applyAlignment="1">
      <alignment vertical="center" wrapText="1"/>
    </xf>
    <xf numFmtId="0" fontId="6" fillId="8" borderId="5" xfId="1" applyNumberFormat="1" applyFont="1" applyFill="1" applyBorder="1" applyAlignment="1">
      <alignment vertical="center" wrapText="1"/>
    </xf>
    <xf numFmtId="0" fontId="6" fillId="8" borderId="6" xfId="1" applyNumberFormat="1" applyFont="1" applyFill="1" applyBorder="1" applyAlignment="1">
      <alignment vertical="center" wrapText="1"/>
    </xf>
    <xf numFmtId="0" fontId="6" fillId="8" borderId="7" xfId="1" applyNumberFormat="1" applyFont="1" applyFill="1" applyBorder="1" applyAlignment="1">
      <alignment vertical="center" wrapText="1"/>
    </xf>
    <xf numFmtId="0" fontId="6" fillId="8" borderId="0" xfId="1" applyNumberFormat="1" applyFont="1" applyFill="1" applyBorder="1" applyAlignment="1">
      <alignment vertical="center" wrapText="1"/>
    </xf>
    <xf numFmtId="0" fontId="6" fillId="8" borderId="8" xfId="1" applyNumberFormat="1" applyFont="1" applyFill="1" applyBorder="1" applyAlignment="1">
      <alignment vertical="center" wrapText="1"/>
    </xf>
    <xf numFmtId="0" fontId="6" fillId="8" borderId="9" xfId="1" applyNumberFormat="1" applyFont="1" applyFill="1" applyBorder="1" applyAlignment="1">
      <alignment vertical="center" wrapText="1"/>
    </xf>
    <xf numFmtId="0" fontId="6" fillId="8" borderId="2" xfId="1" applyNumberFormat="1" applyFont="1" applyFill="1" applyBorder="1" applyAlignment="1">
      <alignment vertical="center" wrapText="1"/>
    </xf>
    <xf numFmtId="0" fontId="6" fillId="8" borderId="10" xfId="1" applyNumberFormat="1" applyFont="1" applyFill="1" applyBorder="1" applyAlignment="1">
      <alignment vertical="center" wrapText="1"/>
    </xf>
    <xf numFmtId="0" fontId="7" fillId="9" borderId="11" xfId="1" applyNumberFormat="1" applyFont="1" applyFill="1" applyBorder="1" applyAlignment="1">
      <alignment vertical="center" wrapText="1"/>
    </xf>
    <xf numFmtId="0" fontId="7" fillId="9" borderId="12" xfId="1" applyNumberFormat="1" applyFont="1" applyFill="1" applyBorder="1" applyAlignment="1">
      <alignment vertical="center" wrapText="1"/>
    </xf>
    <xf numFmtId="0" fontId="7" fillId="9" borderId="13" xfId="1" applyNumberFormat="1" applyFont="1" applyFill="1" applyBorder="1" applyAlignment="1">
      <alignment vertical="center" wrapText="1"/>
    </xf>
    <xf numFmtId="0" fontId="1" fillId="2" borderId="0" xfId="1" applyNumberFormat="1" applyFont="1" applyFill="1" applyBorder="1" applyAlignment="1">
      <alignment vertical="center"/>
    </xf>
    <xf numFmtId="0" fontId="2" fillId="3" borderId="0" xfId="1" applyNumberFormat="1" applyFont="1" applyFill="1" applyBorder="1" applyAlignment="1">
      <alignment vertical="center" wrapText="1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a0fdae64529049f0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1778000</xdr:colOff>
      <xdr:row>24</xdr:row>
      <xdr:rowOff>139700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26497A0E-06A0-4CB7-8E2D-51E2E3FB0677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xltc:personList xmlns:xltc="http://schemas.microsoft.com/office/spreadsheetml/2018/threadedcomments">
  <xltc:person displayName="박규남" id="{E6A787FE-6CA3-4230-9A7E-E5E35C676888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.xml><?xml version="1.0" encoding="utf-8"?>
<xltc:ThreadedComments xmlns:xltc="http://schemas.microsoft.com/office/spreadsheetml/2018/threadedcomments">
  <xltc:threadedComment ref="B10" dT="2026-09-15T07:45:35.574" personId="{E6A787FE-6CA3-4230-9A7E-E5E35C676888}" id="{DD0BD3F9-16DE-7A1B-8B0C-60D4043D6B0D}">
    <xltc:text>자원 여유율은 최대 사용률로 해석합니다. 70% 입력은 30% headroom을 의미합니다.</xltc:text>
  </xltc:threadedComment>
</xltc: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c1e98ac595714a65" Type="http://schemas.microsoft.com/office/2017/10/relationships/threadedComment" Target="../threadedcomments/threadedcomment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showGridLines="0" tabSelected="1" workbookViewId="0">
      <selection activeCell="G17" sqref="G17"/>
    </sheetView>
  </sheetViews>
  <sheetFormatPr defaultRowHeight="14"/>
  <cols>
    <col min="1" max="1" width="28" customWidth="1"/>
    <col min="2" max="3" width="16" customWidth="1"/>
    <col min="4" max="4" width="45" customWidth="1"/>
    <col min="5" max="6" width="16" customWidth="1"/>
    <col min="7" max="7" width="52" customWidth="1"/>
  </cols>
  <sheetData>
    <row r="1" spans="1:7" ht="34" customHeight="1">
      <c r="A1" s="33" t="s">
        <v>0</v>
      </c>
      <c r="B1" s="33" t="s">
        <v>0</v>
      </c>
      <c r="C1" s="33" t="s">
        <v>0</v>
      </c>
      <c r="D1" s="33" t="s">
        <v>0</v>
      </c>
      <c r="E1" s="33" t="s">
        <v>0</v>
      </c>
      <c r="F1" s="33" t="s">
        <v>0</v>
      </c>
      <c r="G1" s="33" t="s">
        <v>0</v>
      </c>
    </row>
    <row r="2" spans="1:7" ht="28" customHeight="1">
      <c r="A2" s="34" t="s">
        <v>1</v>
      </c>
      <c r="B2" s="34" t="s">
        <v>1</v>
      </c>
      <c r="C2" s="34" t="s">
        <v>1</v>
      </c>
      <c r="D2" s="34" t="s">
        <v>1</v>
      </c>
      <c r="E2" s="34" t="s">
        <v>1</v>
      </c>
      <c r="F2" s="34" t="s">
        <v>1</v>
      </c>
      <c r="G2" s="34" t="s">
        <v>1</v>
      </c>
    </row>
    <row r="4" spans="1:7" ht="23" customHeight="1">
      <c r="A4" s="20" t="s">
        <v>2</v>
      </c>
      <c r="B4" s="20" t="s">
        <v>2</v>
      </c>
      <c r="C4" s="20" t="s">
        <v>2</v>
      </c>
      <c r="D4" s="20" t="s">
        <v>2</v>
      </c>
      <c r="E4" s="20" t="s">
        <v>2</v>
      </c>
      <c r="F4" s="20" t="s">
        <v>2</v>
      </c>
      <c r="G4" s="20" t="s">
        <v>2</v>
      </c>
    </row>
    <row r="5" spans="1:7" ht="28" customHeight="1">
      <c r="A5" s="1" t="s">
        <v>3</v>
      </c>
      <c r="B5" s="1" t="s">
        <v>4</v>
      </c>
      <c r="C5" s="1" t="s">
        <v>5</v>
      </c>
      <c r="D5" s="1" t="s">
        <v>6</v>
      </c>
    </row>
    <row r="6" spans="1:7">
      <c r="A6" s="2" t="s">
        <v>7</v>
      </c>
      <c r="B6" s="16">
        <v>12.5</v>
      </c>
      <c r="C6" s="2" t="s">
        <v>8</v>
      </c>
      <c r="D6" s="2" t="s">
        <v>9</v>
      </c>
    </row>
    <row r="7" spans="1:7">
      <c r="A7" s="3" t="s">
        <v>10</v>
      </c>
      <c r="B7" s="17">
        <v>3</v>
      </c>
      <c r="C7" s="3" t="s">
        <v>11</v>
      </c>
      <c r="D7" s="3" t="s">
        <v>12</v>
      </c>
    </row>
    <row r="8" spans="1:7">
      <c r="A8" s="3" t="s">
        <v>13</v>
      </c>
      <c r="B8" s="17">
        <v>1</v>
      </c>
      <c r="C8" s="3" t="s">
        <v>14</v>
      </c>
      <c r="D8" s="3" t="s">
        <v>15</v>
      </c>
    </row>
    <row r="9" spans="1:7">
      <c r="A9" s="3" t="s">
        <v>16</v>
      </c>
      <c r="B9" s="17">
        <v>3</v>
      </c>
      <c r="C9" s="3" t="s">
        <v>11</v>
      </c>
      <c r="D9" s="3" t="s">
        <v>17</v>
      </c>
    </row>
    <row r="10" spans="1:7">
      <c r="A10" s="3" t="s">
        <v>18</v>
      </c>
      <c r="B10" s="18">
        <v>0.7</v>
      </c>
      <c r="C10" s="3" t="s">
        <v>19</v>
      </c>
      <c r="D10" s="3" t="s">
        <v>20</v>
      </c>
    </row>
    <row r="13" spans="1:7" ht="23" customHeight="1">
      <c r="A13" s="20" t="s">
        <v>21</v>
      </c>
      <c r="B13" s="20" t="s">
        <v>21</v>
      </c>
      <c r="C13" s="20" t="s">
        <v>21</v>
      </c>
      <c r="D13" s="20" t="s">
        <v>21</v>
      </c>
      <c r="E13" s="20" t="s">
        <v>21</v>
      </c>
      <c r="F13" s="20" t="s">
        <v>21</v>
      </c>
      <c r="G13" s="20" t="s">
        <v>21</v>
      </c>
    </row>
    <row r="14" spans="1:7" ht="28" customHeight="1">
      <c r="A14" s="1" t="s">
        <v>22</v>
      </c>
      <c r="B14" s="1" t="s">
        <v>23</v>
      </c>
      <c r="C14" s="1" t="s">
        <v>24</v>
      </c>
      <c r="D14" s="1" t="s">
        <v>25</v>
      </c>
      <c r="E14" s="1" t="s">
        <v>60</v>
      </c>
      <c r="F14" s="1" t="s">
        <v>26</v>
      </c>
      <c r="G14" s="1" t="s">
        <v>27</v>
      </c>
    </row>
    <row r="15" spans="1:7" ht="30" customHeight="1">
      <c r="A15" s="2" t="s">
        <v>28</v>
      </c>
      <c r="B15" s="19">
        <f>ROUNDUP(MAX(3,ROUNDUP((B6*B8*B9/B10)/12,0),ROUNDUP(((B6*1000/86400)*2*((B9-1)+B7))/(10/8*0.8*B10),0))/3,0)*3</f>
        <v>6</v>
      </c>
      <c r="C15" s="5">
        <f>24</f>
        <v>24</v>
      </c>
      <c r="D15" s="5">
        <v>64</v>
      </c>
      <c r="E15" s="7" t="s">
        <v>59</v>
      </c>
      <c r="F15" s="8" t="s">
        <v>62</v>
      </c>
      <c r="G15" s="10" t="s">
        <v>61</v>
      </c>
    </row>
    <row r="16" spans="1:7" ht="30" customHeight="1">
      <c r="A16" s="3" t="s">
        <v>29</v>
      </c>
      <c r="B16" s="4">
        <f>2</f>
        <v>2</v>
      </c>
      <c r="C16" s="6">
        <f>2</f>
        <v>2</v>
      </c>
      <c r="D16" s="6">
        <f>2</f>
        <v>2</v>
      </c>
      <c r="E16" s="7" t="s">
        <v>58</v>
      </c>
      <c r="F16" s="9">
        <f>0.125</f>
        <v>0.125</v>
      </c>
      <c r="G16" s="11" t="s">
        <v>57</v>
      </c>
    </row>
    <row r="17" spans="1:7" ht="30" customHeight="1">
      <c r="A17" s="3" t="s">
        <v>30</v>
      </c>
      <c r="B17" s="4">
        <f>1</f>
        <v>1</v>
      </c>
      <c r="C17" s="6">
        <f>4</f>
        <v>4</v>
      </c>
      <c r="D17" s="6">
        <f>8</f>
        <v>8</v>
      </c>
      <c r="E17" s="7" t="s">
        <v>59</v>
      </c>
      <c r="F17" s="9">
        <f>0.125</f>
        <v>0.125</v>
      </c>
      <c r="G17" s="11" t="s">
        <v>57</v>
      </c>
    </row>
    <row r="18" spans="1:7" ht="30" customHeight="1">
      <c r="A18" s="3" t="s">
        <v>63</v>
      </c>
      <c r="B18" s="4">
        <v>3</v>
      </c>
      <c r="C18" s="6">
        <v>4</v>
      </c>
      <c r="D18" s="6">
        <v>4</v>
      </c>
      <c r="E18" s="7">
        <v>64</v>
      </c>
      <c r="F18" s="9"/>
      <c r="G18" s="11" t="s">
        <v>64</v>
      </c>
    </row>
    <row r="19" spans="1:7" ht="30" customHeight="1">
      <c r="A19" s="3" t="s">
        <v>31</v>
      </c>
      <c r="B19" s="4">
        <f>1</f>
        <v>1</v>
      </c>
      <c r="C19" s="6">
        <f>2</f>
        <v>2</v>
      </c>
      <c r="D19" s="6">
        <f>8</f>
        <v>8</v>
      </c>
      <c r="E19" s="7" t="s">
        <v>58</v>
      </c>
      <c r="F19" s="9">
        <f>0.0125</f>
        <v>1.2500000000000001E-2</v>
      </c>
      <c r="G19" s="11" t="s">
        <v>57</v>
      </c>
    </row>
    <row r="22" spans="1:7" ht="23" customHeight="1">
      <c r="A22" s="20" t="s">
        <v>32</v>
      </c>
      <c r="B22" s="20" t="s">
        <v>32</v>
      </c>
      <c r="C22" s="20" t="s">
        <v>32</v>
      </c>
      <c r="D22" s="20" t="s">
        <v>32</v>
      </c>
      <c r="E22" s="20" t="s">
        <v>32</v>
      </c>
      <c r="F22" s="20" t="s">
        <v>32</v>
      </c>
      <c r="G22" s="20" t="s">
        <v>32</v>
      </c>
    </row>
    <row r="23" spans="1:7" ht="28" customHeight="1">
      <c r="A23" s="1" t="s">
        <v>33</v>
      </c>
      <c r="B23" s="1" t="s">
        <v>34</v>
      </c>
      <c r="C23" s="1" t="s">
        <v>5</v>
      </c>
      <c r="D23" s="1" t="s">
        <v>35</v>
      </c>
    </row>
    <row r="24" spans="1:7">
      <c r="A24" s="2" t="s">
        <v>36</v>
      </c>
      <c r="B24" s="12">
        <f>B6*1000/86400</f>
        <v>0.14467592592592593</v>
      </c>
      <c r="C24" s="2" t="s">
        <v>37</v>
      </c>
      <c r="D24" s="10" t="s">
        <v>38</v>
      </c>
    </row>
    <row r="25" spans="1:7">
      <c r="A25" s="3" t="s">
        <v>39</v>
      </c>
      <c r="B25" s="13">
        <f>B24*2</f>
        <v>0.28935185185185186</v>
      </c>
      <c r="C25" s="3" t="s">
        <v>37</v>
      </c>
      <c r="D25" s="11" t="s">
        <v>40</v>
      </c>
    </row>
    <row r="26" spans="1:7">
      <c r="A26" s="3" t="s">
        <v>41</v>
      </c>
      <c r="B26" s="13">
        <f>B25*((B9-1)+B7)</f>
        <v>1.4467592592592593</v>
      </c>
      <c r="C26" s="3" t="s">
        <v>37</v>
      </c>
      <c r="D26" s="11" t="s">
        <v>42</v>
      </c>
    </row>
    <row r="27" spans="1:7">
      <c r="A27" s="3" t="s">
        <v>43</v>
      </c>
      <c r="B27" s="15">
        <f>B6*B8*B9/B10</f>
        <v>53.571428571428577</v>
      </c>
      <c r="C27" s="3" t="s">
        <v>44</v>
      </c>
      <c r="D27" s="11" t="s">
        <v>45</v>
      </c>
    </row>
    <row r="28" spans="1:7">
      <c r="A28" s="3" t="s">
        <v>46</v>
      </c>
      <c r="B28" s="14">
        <f>B27/(B15-1)</f>
        <v>10.714285714285715</v>
      </c>
      <c r="C28" s="3" t="s">
        <v>47</v>
      </c>
      <c r="D28" s="11" t="s">
        <v>48</v>
      </c>
    </row>
    <row r="29" spans="1:7">
      <c r="A29" s="3" t="s">
        <v>49</v>
      </c>
      <c r="B29" s="13">
        <f>B26/(B15-1)/0.8/B10</f>
        <v>0.51669973544973546</v>
      </c>
      <c r="C29" s="3" t="s">
        <v>50</v>
      </c>
      <c r="D29" s="11" t="s">
        <v>51</v>
      </c>
    </row>
    <row r="31" spans="1:7" ht="23" customHeight="1">
      <c r="A31" s="20" t="s">
        <v>52</v>
      </c>
      <c r="B31" s="20" t="s">
        <v>52</v>
      </c>
      <c r="C31" s="20" t="s">
        <v>52</v>
      </c>
      <c r="D31" s="20" t="s">
        <v>52</v>
      </c>
      <c r="E31" s="20" t="s">
        <v>52</v>
      </c>
      <c r="F31" s="20" t="s">
        <v>52</v>
      </c>
      <c r="G31" s="20" t="s">
        <v>52</v>
      </c>
    </row>
    <row r="32" spans="1:7" ht="30" customHeight="1">
      <c r="A32" s="21" t="s">
        <v>53</v>
      </c>
      <c r="B32" s="22"/>
      <c r="C32" s="22"/>
      <c r="D32" s="22"/>
      <c r="E32" s="22"/>
      <c r="F32" s="22"/>
      <c r="G32" s="23"/>
    </row>
    <row r="33" spans="1:7" ht="30" customHeight="1">
      <c r="A33" s="24" t="s">
        <v>54</v>
      </c>
      <c r="B33" s="25"/>
      <c r="C33" s="25"/>
      <c r="D33" s="25"/>
      <c r="E33" s="25"/>
      <c r="F33" s="25"/>
      <c r="G33" s="26"/>
    </row>
    <row r="34" spans="1:7" ht="30" customHeight="1">
      <c r="A34" s="27" t="s">
        <v>55</v>
      </c>
      <c r="B34" s="28"/>
      <c r="C34" s="28"/>
      <c r="D34" s="28"/>
      <c r="E34" s="28"/>
      <c r="F34" s="28"/>
      <c r="G34" s="29"/>
    </row>
    <row r="36" spans="1:7" ht="34" customHeight="1">
      <c r="A36" s="30" t="s">
        <v>56</v>
      </c>
      <c r="B36" s="31" t="s">
        <v>56</v>
      </c>
      <c r="C36" s="31" t="s">
        <v>56</v>
      </c>
      <c r="D36" s="31" t="s">
        <v>56</v>
      </c>
      <c r="E36" s="31" t="s">
        <v>56</v>
      </c>
      <c r="F36" s="31" t="s">
        <v>56</v>
      </c>
      <c r="G36" s="32" t="s">
        <v>56</v>
      </c>
    </row>
  </sheetData>
  <mergeCells count="10">
    <mergeCell ref="A1:G1"/>
    <mergeCell ref="A2:G2"/>
    <mergeCell ref="A4:G4"/>
    <mergeCell ref="A13:G13"/>
    <mergeCell ref="A22:G22"/>
    <mergeCell ref="A31:G31"/>
    <mergeCell ref="A32:G32"/>
    <mergeCell ref="A33:G33"/>
    <mergeCell ref="A34:G34"/>
    <mergeCell ref="A36:G36"/>
  </mergeCells>
  <phoneticPr fontId="9" type="noConversion"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Kafka Sizing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박규남</cp:lastModifiedBy>
  <dcterms:modified xsi:type="dcterms:W3CDTF">2026-09-16T03:46:45Z</dcterms:modified>
</cp:coreProperties>
</file>